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i e Ricavi" sheetId="1" state="visible" r:id="rId1"/>
  </sheets>
  <definedNames>
    <definedName name="_xlnm.Print_Area" localSheetId="0">'Costi e Ricavi'!$A$1:$F$74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0.0%"/>
    <numFmt numFmtId="166" formatCode="#,##0.00 &quot;€&quot;;-#,##0.00 &quot;€&quot;"/>
    <numFmt numFmtId="167" formatCode="DD/MM/YYYY"/>
    <numFmt numFmtId="168" formatCode="MMMM YYYY"/>
  </numFmts>
  <fonts count="16">
    <font>
      <name val="Calibri"/>
      <family val="2"/>
      <color theme="1"/>
      <sz val="11"/>
      <scheme val="minor"/>
    </font>
    <font>
      <b val="1"/>
      <sz val="18"/>
    </font>
    <font>
      <b val="1"/>
      <color rgb="009C5700"/>
      <sz val="12"/>
    </font>
    <font>
      <b val="1"/>
      <color rgb="00C00000"/>
    </font>
    <font>
      <b val="1"/>
      <color rgb="00C00000"/>
      <sz val="12"/>
    </font>
    <font>
      <b val="1"/>
      <color rgb="002E7D32"/>
    </font>
    <font>
      <b val="1"/>
      <color rgb="002E7D32"/>
      <sz val="12"/>
    </font>
    <font>
      <b val="1"/>
      <color rgb="00000000"/>
    </font>
    <font>
      <b val="1"/>
      <color rgb="00000000"/>
      <sz val="12"/>
    </font>
    <font>
      <b val="1"/>
      <color rgb="00FFFFFF"/>
      <sz val="16"/>
    </font>
    <font>
      <b val="1"/>
      <color rgb="00FFFFFF"/>
    </font>
    <font>
      <i val="1"/>
      <color rgb="007F7F7F"/>
      <sz val="9"/>
    </font>
    <font>
      <b val="1"/>
      <sz val="13"/>
    </font>
    <font>
      <color rgb="00C00000"/>
    </font>
    <font>
      <color rgb="002E7D32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E7D32"/>
      </patternFill>
    </fill>
    <fill>
      <patternFill patternType="solid">
        <fgColor rgb="00404040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/>
      <top style="medium"/>
      <bottom style="medium"/>
    </border>
    <border>
      <top style="medium"/>
      <bottom style="medium"/>
    </border>
    <border>
      <right style="medium"/>
      <top style="medium"/>
      <bottom style="medium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" fontId="8" fillId="0" borderId="1" applyAlignment="1" pivotButton="0" quotePrefix="0" xfId="0">
      <alignment horizontal="right"/>
    </xf>
    <xf numFmtId="0" fontId="9" fillId="3" borderId="2" applyAlignment="1" pivotButton="0" quotePrefix="0" xfId="0">
      <alignment horizontal="center" vertical="center"/>
    </xf>
    <xf numFmtId="0" fontId="0" fillId="3" borderId="3" pivotButton="0" quotePrefix="0" xfId="0"/>
    <xf numFmtId="166" fontId="9" fillId="3" borderId="4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4" pivotButton="0" quotePrefix="0" xfId="0"/>
    <xf numFmtId="0" fontId="11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12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168" fontId="0" fillId="0" borderId="1" pivotButton="0" quotePrefix="0" xfId="0"/>
    <xf numFmtId="164" fontId="13" fillId="0" borderId="1" pivotButton="0" quotePrefix="0" xfId="0"/>
    <xf numFmtId="164" fontId="14" fillId="0" borderId="1" pivotButton="0" quotePrefix="0" xfId="0"/>
    <xf numFmtId="0" fontId="15" fillId="6" borderId="1" pivotButton="0" quotePrefix="0" xfId="0"/>
    <xf numFmtId="164" fontId="15" fillId="6" borderId="1" pivotButton="0" quotePrefix="0" xfId="0"/>
    <xf numFmtId="0" fontId="15" fillId="6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C00000"/>
      </font>
      <fill>
        <patternFill patternType="solid">
          <fgColor rgb="00FDE2E2"/>
          <bgColor rgb="00FDE2E2"/>
        </patternFill>
      </fill>
    </dxf>
    <dxf>
      <font>
        <color rgb="002E7D32"/>
      </font>
      <fill>
        <patternFill patternType="solid">
          <fgColor rgb="00E3F4E4"/>
          <bgColor rgb="00E3F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4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8" customWidth="1" min="3" max="3"/>
    <col width="14" customWidth="1" min="4" max="4"/>
    <col width="20" customWidth="1" min="5" max="5"/>
    <col width="14" customWidth="1" min="6" max="6"/>
  </cols>
  <sheetData>
    <row r="1" ht="36" customHeight="1">
      <c r="A1" s="1" t="inlineStr">
        <is>
          <t>CORSO INVALIDITÀ CIVILE – INIZIO OTTOBRE 2026</t>
        </is>
      </c>
    </row>
    <row r="2" ht="24" customHeight="1">
      <c r="A2" s="2" t="inlineStr">
        <is>
          <t>⚠ ATTENZIONE: tutti gli importi (COSTI e RICAVI) vanno inseriti AL NETTO DI IVA</t>
        </is>
      </c>
    </row>
    <row r="4">
      <c r="A4" s="3" t="inlineStr">
        <is>
          <t>TOTALE COSTI (netto IVA)</t>
        </is>
      </c>
      <c r="E4" s="4">
        <f>SUMIFS($E$17:$E$56,$B$17:$B$56,"Costo")</f>
        <v/>
      </c>
    </row>
    <row r="5">
      <c r="A5" s="5" t="inlineStr">
        <is>
          <t>TOTALE RICAVI (netto IVA)</t>
        </is>
      </c>
      <c r="E5" s="6">
        <f>SUMIFS($E$17:$E$56,$B$17:$B$56,"Ricavo")</f>
        <v/>
      </c>
    </row>
    <row r="6">
      <c r="A6" s="5" t="inlineStr">
        <is>
          <t>UTILE (se ricavi &gt; costi)</t>
        </is>
      </c>
      <c r="E6" s="6">
        <f>MAX(E5-E4,0)</f>
        <v/>
      </c>
    </row>
    <row r="7">
      <c r="A7" s="3" t="inlineStr">
        <is>
          <t>PERDITA (se costi &gt; ricavi)</t>
        </is>
      </c>
      <c r="E7" s="4">
        <f>MAX(E4-E5,0)</f>
        <v/>
      </c>
    </row>
    <row r="8">
      <c r="A8" s="7" t="inlineStr">
        <is>
          <t>ROI</t>
        </is>
      </c>
      <c r="E8" s="8">
        <f>IF(E4=0,"",(E5-E4)/E4)</f>
        <v/>
      </c>
    </row>
    <row r="9">
      <c r="A9" s="7" t="inlineStr">
        <is>
          <t>CORSI VENDUTI</t>
        </is>
      </c>
      <c r="E9" s="9">
        <f>SUMIFS($D$17:$D$56,$B$17:$B$56,"Ricavo")</f>
        <v/>
      </c>
    </row>
    <row r="11" ht="22" customHeight="1">
      <c r="A11" s="10">
        <f>IF(E5&gt;=E4,"RISULTATO FINALE:  UTILE","RISULTATO FINALE:  PERDITA")</f>
        <v/>
      </c>
      <c r="B11" s="11" t="n"/>
      <c r="C11" s="11" t="n"/>
      <c r="D11" s="11" t="n"/>
      <c r="E11" s="12">
        <f>ABS(E5-E4)</f>
        <v/>
      </c>
    </row>
    <row r="12" ht="22" customHeight="1">
      <c r="A12" s="13" t="n"/>
      <c r="B12" s="11" t="n"/>
      <c r="C12" s="11" t="n"/>
      <c r="D12" s="11" t="n"/>
      <c r="E12" s="14" t="n"/>
    </row>
    <row r="15">
      <c r="A15" s="15" t="inlineStr">
        <is>
          <t>Inserire un movimento per riga: scegliere Costo (sponsorizzate Facebook) o Ricavo (vendita corsi online). La riga si colora da sola.</t>
        </is>
      </c>
    </row>
    <row r="16" ht="32" customHeight="1">
      <c r="A16" s="16" t="inlineStr">
        <is>
          <t>Data</t>
        </is>
      </c>
      <c r="B16" s="16" t="inlineStr">
        <is>
          <t>Tipo
(Costo / Ricavo)</t>
        </is>
      </c>
      <c r="C16" s="16" t="inlineStr">
        <is>
          <t>Descrizione</t>
        </is>
      </c>
      <c r="D16" s="16" t="inlineStr">
        <is>
          <t>N. corsi venduti</t>
        </is>
      </c>
      <c r="E16" s="16" t="inlineStr">
        <is>
          <t>Importo €
(netto IVA)</t>
        </is>
      </c>
    </row>
    <row r="17">
      <c r="A17" s="17" t="n"/>
      <c r="B17" s="18" t="inlineStr">
        <is>
          <t>Costo</t>
        </is>
      </c>
      <c r="C17" s="19" t="inlineStr">
        <is>
          <t>Sponsorizzata Facebook</t>
        </is>
      </c>
      <c r="D17" s="18" t="n"/>
      <c r="E17" s="20" t="n"/>
    </row>
    <row r="18">
      <c r="A18" s="17" t="n"/>
      <c r="B18" s="18" t="inlineStr">
        <is>
          <t>Ricavo</t>
        </is>
      </c>
      <c r="C18" s="19" t="inlineStr">
        <is>
          <t>Vendita corso online</t>
        </is>
      </c>
      <c r="D18" s="18" t="n"/>
      <c r="E18" s="20" t="n"/>
    </row>
    <row r="19">
      <c r="A19" s="17" t="n"/>
      <c r="B19" s="18" t="n"/>
      <c r="C19" s="19" t="n"/>
      <c r="D19" s="18" t="n"/>
      <c r="E19" s="20" t="n"/>
    </row>
    <row r="20">
      <c r="A20" s="17" t="n"/>
      <c r="B20" s="18" t="n"/>
      <c r="C20" s="19" t="n"/>
      <c r="D20" s="18" t="n"/>
      <c r="E20" s="20" t="n"/>
    </row>
    <row r="21">
      <c r="A21" s="17" t="n"/>
      <c r="B21" s="18" t="n"/>
      <c r="C21" s="19" t="n"/>
      <c r="D21" s="18" t="n"/>
      <c r="E21" s="20" t="n"/>
    </row>
    <row r="22">
      <c r="A22" s="17" t="n"/>
      <c r="B22" s="18" t="n"/>
      <c r="C22" s="19" t="n"/>
      <c r="D22" s="18" t="n"/>
      <c r="E22" s="20" t="n"/>
    </row>
    <row r="23">
      <c r="A23" s="17" t="n"/>
      <c r="B23" s="18" t="n"/>
      <c r="C23" s="19" t="n"/>
      <c r="D23" s="18" t="n"/>
      <c r="E23" s="20" t="n"/>
    </row>
    <row r="24">
      <c r="A24" s="17" t="n"/>
      <c r="B24" s="18" t="n"/>
      <c r="C24" s="19" t="n"/>
      <c r="D24" s="18" t="n"/>
      <c r="E24" s="20" t="n"/>
    </row>
    <row r="25">
      <c r="A25" s="17" t="n"/>
      <c r="B25" s="18" t="n"/>
      <c r="C25" s="19" t="n"/>
      <c r="D25" s="18" t="n"/>
      <c r="E25" s="20" t="n"/>
    </row>
    <row r="26">
      <c r="A26" s="17" t="n"/>
      <c r="B26" s="18" t="n"/>
      <c r="C26" s="19" t="n"/>
      <c r="D26" s="18" t="n"/>
      <c r="E26" s="20" t="n"/>
    </row>
    <row r="27">
      <c r="A27" s="17" t="n"/>
      <c r="B27" s="18" t="n"/>
      <c r="C27" s="19" t="n"/>
      <c r="D27" s="18" t="n"/>
      <c r="E27" s="20" t="n"/>
    </row>
    <row r="28">
      <c r="A28" s="17" t="n"/>
      <c r="B28" s="18" t="n"/>
      <c r="C28" s="19" t="n"/>
      <c r="D28" s="18" t="n"/>
      <c r="E28" s="20" t="n"/>
    </row>
    <row r="29">
      <c r="A29" s="17" t="n"/>
      <c r="B29" s="18" t="n"/>
      <c r="C29" s="19" t="n"/>
      <c r="D29" s="18" t="n"/>
      <c r="E29" s="20" t="n"/>
    </row>
    <row r="30">
      <c r="A30" s="17" t="n"/>
      <c r="B30" s="18" t="n"/>
      <c r="C30" s="19" t="n"/>
      <c r="D30" s="18" t="n"/>
      <c r="E30" s="20" t="n"/>
    </row>
    <row r="31">
      <c r="A31" s="17" t="n"/>
      <c r="B31" s="18" t="n"/>
      <c r="C31" s="19" t="n"/>
      <c r="D31" s="18" t="n"/>
      <c r="E31" s="20" t="n"/>
    </row>
    <row r="32">
      <c r="A32" s="17" t="n"/>
      <c r="B32" s="18" t="n"/>
      <c r="C32" s="19" t="n"/>
      <c r="D32" s="18" t="n"/>
      <c r="E32" s="20" t="n"/>
    </row>
    <row r="33">
      <c r="A33" s="17" t="n"/>
      <c r="B33" s="18" t="n"/>
      <c r="C33" s="19" t="n"/>
      <c r="D33" s="18" t="n"/>
      <c r="E33" s="20" t="n"/>
    </row>
    <row r="34">
      <c r="A34" s="17" t="n"/>
      <c r="B34" s="18" t="n"/>
      <c r="C34" s="19" t="n"/>
      <c r="D34" s="18" t="n"/>
      <c r="E34" s="20" t="n"/>
    </row>
    <row r="35">
      <c r="A35" s="17" t="n"/>
      <c r="B35" s="18" t="n"/>
      <c r="C35" s="19" t="n"/>
      <c r="D35" s="18" t="n"/>
      <c r="E35" s="20" t="n"/>
    </row>
    <row r="36">
      <c r="A36" s="17" t="n"/>
      <c r="B36" s="18" t="n"/>
      <c r="C36" s="19" t="n"/>
      <c r="D36" s="18" t="n"/>
      <c r="E36" s="20" t="n"/>
    </row>
    <row r="37">
      <c r="A37" s="17" t="n"/>
      <c r="B37" s="18" t="n"/>
      <c r="C37" s="19" t="n"/>
      <c r="D37" s="18" t="n"/>
      <c r="E37" s="20" t="n"/>
    </row>
    <row r="38">
      <c r="A38" s="17" t="n"/>
      <c r="B38" s="18" t="n"/>
      <c r="C38" s="19" t="n"/>
      <c r="D38" s="18" t="n"/>
      <c r="E38" s="20" t="n"/>
    </row>
    <row r="39">
      <c r="A39" s="17" t="n"/>
      <c r="B39" s="18" t="n"/>
      <c r="C39" s="19" t="n"/>
      <c r="D39" s="18" t="n"/>
      <c r="E39" s="20" t="n"/>
    </row>
    <row r="40">
      <c r="A40" s="17" t="n"/>
      <c r="B40" s="18" t="n"/>
      <c r="C40" s="19" t="n"/>
      <c r="D40" s="18" t="n"/>
      <c r="E40" s="20" t="n"/>
    </row>
    <row r="41">
      <c r="A41" s="17" t="n"/>
      <c r="B41" s="18" t="n"/>
      <c r="C41" s="19" t="n"/>
      <c r="D41" s="18" t="n"/>
      <c r="E41" s="20" t="n"/>
    </row>
    <row r="42">
      <c r="A42" s="17" t="n"/>
      <c r="B42" s="18" t="n"/>
      <c r="C42" s="19" t="n"/>
      <c r="D42" s="18" t="n"/>
      <c r="E42" s="20" t="n"/>
    </row>
    <row r="43">
      <c r="A43" s="17" t="n"/>
      <c r="B43" s="18" t="n"/>
      <c r="C43" s="19" t="n"/>
      <c r="D43" s="18" t="n"/>
      <c r="E43" s="20" t="n"/>
    </row>
    <row r="44">
      <c r="A44" s="17" t="n"/>
      <c r="B44" s="18" t="n"/>
      <c r="C44" s="19" t="n"/>
      <c r="D44" s="18" t="n"/>
      <c r="E44" s="20" t="n"/>
    </row>
    <row r="45">
      <c r="A45" s="17" t="n"/>
      <c r="B45" s="18" t="n"/>
      <c r="C45" s="19" t="n"/>
      <c r="D45" s="18" t="n"/>
      <c r="E45" s="20" t="n"/>
    </row>
    <row r="46">
      <c r="A46" s="17" t="n"/>
      <c r="B46" s="18" t="n"/>
      <c r="C46" s="19" t="n"/>
      <c r="D46" s="18" t="n"/>
      <c r="E46" s="20" t="n"/>
    </row>
    <row r="47">
      <c r="A47" s="17" t="n"/>
      <c r="B47" s="18" t="n"/>
      <c r="C47" s="19" t="n"/>
      <c r="D47" s="18" t="n"/>
      <c r="E47" s="20" t="n"/>
    </row>
    <row r="48">
      <c r="A48" s="17" t="n"/>
      <c r="B48" s="18" t="n"/>
      <c r="C48" s="19" t="n"/>
      <c r="D48" s="18" t="n"/>
      <c r="E48" s="20" t="n"/>
    </row>
    <row r="49">
      <c r="A49" s="17" t="n"/>
      <c r="B49" s="18" t="n"/>
      <c r="C49" s="19" t="n"/>
      <c r="D49" s="18" t="n"/>
      <c r="E49" s="20" t="n"/>
    </row>
    <row r="50">
      <c r="A50" s="17" t="n"/>
      <c r="B50" s="18" t="n"/>
      <c r="C50" s="19" t="n"/>
      <c r="D50" s="18" t="n"/>
      <c r="E50" s="20" t="n"/>
    </row>
    <row r="51">
      <c r="A51" s="17" t="n"/>
      <c r="B51" s="18" t="n"/>
      <c r="C51" s="19" t="n"/>
      <c r="D51" s="18" t="n"/>
      <c r="E51" s="20" t="n"/>
    </row>
    <row r="52">
      <c r="A52" s="17" t="n"/>
      <c r="B52" s="18" t="n"/>
      <c r="C52" s="19" t="n"/>
      <c r="D52" s="18" t="n"/>
      <c r="E52" s="20" t="n"/>
    </row>
    <row r="53">
      <c r="A53" s="17" t="n"/>
      <c r="B53" s="18" t="n"/>
      <c r="C53" s="19" t="n"/>
      <c r="D53" s="18" t="n"/>
      <c r="E53" s="20" t="n"/>
    </row>
    <row r="54">
      <c r="A54" s="17" t="n"/>
      <c r="B54" s="18" t="n"/>
      <c r="C54" s="19" t="n"/>
      <c r="D54" s="18" t="n"/>
      <c r="E54" s="20" t="n"/>
    </row>
    <row r="55">
      <c r="A55" s="17" t="n"/>
      <c r="B55" s="18" t="n"/>
      <c r="C55" s="19" t="n"/>
      <c r="D55" s="18" t="n"/>
      <c r="E55" s="20" t="n"/>
    </row>
    <row r="56">
      <c r="A56" s="17" t="n"/>
      <c r="B56" s="18" t="n"/>
      <c r="C56" s="19" t="n"/>
      <c r="D56" s="18" t="n"/>
      <c r="E56" s="20" t="n"/>
    </row>
    <row r="59">
      <c r="A59" s="21" t="inlineStr">
        <is>
          <t>RIEPILOGO MENSILE (calcolato in automatico dalla colonna Data)</t>
        </is>
      </c>
    </row>
    <row r="60">
      <c r="A60" s="15" t="inlineStr">
        <is>
          <t>Nota: le righe senza data entrano nei totali generali ma non nel mese.</t>
        </is>
      </c>
    </row>
    <row r="61">
      <c r="A61" s="16" t="inlineStr">
        <is>
          <t>Mese</t>
        </is>
      </c>
      <c r="B61" s="22" t="inlineStr">
        <is>
          <t>Costi (netto IVA)</t>
        </is>
      </c>
      <c r="C61" s="23" t="inlineStr">
        <is>
          <t>Ricavi (netto IVA)</t>
        </is>
      </c>
      <c r="D61" s="23" t="inlineStr">
        <is>
          <t>Utile</t>
        </is>
      </c>
      <c r="E61" s="22" t="inlineStr">
        <is>
          <t>Perdita</t>
        </is>
      </c>
      <c r="F61" s="16" t="inlineStr">
        <is>
          <t>Corsi venduti</t>
        </is>
      </c>
    </row>
    <row r="62">
      <c r="A62" s="24">
        <f>DATE(2026,10,1)</f>
        <v/>
      </c>
      <c r="B62" s="25">
        <f>SUMIFS($E$17:$E$56,$B$17:$B$56,"Costo",$A$17:$A$56,"&gt;="&amp;A62,$A$17:$A$56,"&lt;"&amp;EDATE(A62,1))</f>
        <v/>
      </c>
      <c r="C62" s="26">
        <f>SUMIFS($E$17:$E$56,$B$17:$B$56,"Ricavo",$A$17:$A$56,"&gt;="&amp;A62,$A$17:$A$56,"&lt;"&amp;EDATE(A62,1))</f>
        <v/>
      </c>
      <c r="D62" s="26">
        <f>MAX(C62-B62,0)</f>
        <v/>
      </c>
      <c r="E62" s="25">
        <f>MAX(B62-C62,0)</f>
        <v/>
      </c>
      <c r="F62" s="18">
        <f>SUMIFS($D$17:$D$56,$B$17:$B$56,"Ricavo",$A$17:$A$56,"&gt;="&amp;A62,$A$17:$A$56,"&lt;"&amp;EDATE(A62,1))</f>
        <v/>
      </c>
    </row>
    <row r="63">
      <c r="A63" s="24">
        <f>EDATE(A62,1)</f>
        <v/>
      </c>
      <c r="B63" s="25">
        <f>SUMIFS($E$17:$E$56,$B$17:$B$56,"Costo",$A$17:$A$56,"&gt;="&amp;A63,$A$17:$A$56,"&lt;"&amp;EDATE(A63,1))</f>
        <v/>
      </c>
      <c r="C63" s="26">
        <f>SUMIFS($E$17:$E$56,$B$17:$B$56,"Ricavo",$A$17:$A$56,"&gt;="&amp;A63,$A$17:$A$56,"&lt;"&amp;EDATE(A63,1))</f>
        <v/>
      </c>
      <c r="D63" s="26">
        <f>MAX(C63-B63,0)</f>
        <v/>
      </c>
      <c r="E63" s="25">
        <f>MAX(B63-C63,0)</f>
        <v/>
      </c>
      <c r="F63" s="18">
        <f>SUMIFS($D$17:$D$56,$B$17:$B$56,"Ricavo",$A$17:$A$56,"&gt;="&amp;A63,$A$17:$A$56,"&lt;"&amp;EDATE(A63,1))</f>
        <v/>
      </c>
    </row>
    <row r="64">
      <c r="A64" s="24">
        <f>EDATE(A63,1)</f>
        <v/>
      </c>
      <c r="B64" s="25">
        <f>SUMIFS($E$17:$E$56,$B$17:$B$56,"Costo",$A$17:$A$56,"&gt;="&amp;A64,$A$17:$A$56,"&lt;"&amp;EDATE(A64,1))</f>
        <v/>
      </c>
      <c r="C64" s="26">
        <f>SUMIFS($E$17:$E$56,$B$17:$B$56,"Ricavo",$A$17:$A$56,"&gt;="&amp;A64,$A$17:$A$56,"&lt;"&amp;EDATE(A64,1))</f>
        <v/>
      </c>
      <c r="D64" s="26">
        <f>MAX(C64-B64,0)</f>
        <v/>
      </c>
      <c r="E64" s="25">
        <f>MAX(B64-C64,0)</f>
        <v/>
      </c>
      <c r="F64" s="18">
        <f>SUMIFS($D$17:$D$56,$B$17:$B$56,"Ricavo",$A$17:$A$56,"&gt;="&amp;A64,$A$17:$A$56,"&lt;"&amp;EDATE(A64,1))</f>
        <v/>
      </c>
    </row>
    <row r="65">
      <c r="A65" s="24">
        <f>EDATE(A64,1)</f>
        <v/>
      </c>
      <c r="B65" s="25">
        <f>SUMIFS($E$17:$E$56,$B$17:$B$56,"Costo",$A$17:$A$56,"&gt;="&amp;A65,$A$17:$A$56,"&lt;"&amp;EDATE(A65,1))</f>
        <v/>
      </c>
      <c r="C65" s="26">
        <f>SUMIFS($E$17:$E$56,$B$17:$B$56,"Ricavo",$A$17:$A$56,"&gt;="&amp;A65,$A$17:$A$56,"&lt;"&amp;EDATE(A65,1))</f>
        <v/>
      </c>
      <c r="D65" s="26">
        <f>MAX(C65-B65,0)</f>
        <v/>
      </c>
      <c r="E65" s="25">
        <f>MAX(B65-C65,0)</f>
        <v/>
      </c>
      <c r="F65" s="18">
        <f>SUMIFS($D$17:$D$56,$B$17:$B$56,"Ricavo",$A$17:$A$56,"&gt;="&amp;A65,$A$17:$A$56,"&lt;"&amp;EDATE(A65,1))</f>
        <v/>
      </c>
    </row>
    <row r="66">
      <c r="A66" s="24">
        <f>EDATE(A65,1)</f>
        <v/>
      </c>
      <c r="B66" s="25">
        <f>SUMIFS($E$17:$E$56,$B$17:$B$56,"Costo",$A$17:$A$56,"&gt;="&amp;A66,$A$17:$A$56,"&lt;"&amp;EDATE(A66,1))</f>
        <v/>
      </c>
      <c r="C66" s="26">
        <f>SUMIFS($E$17:$E$56,$B$17:$B$56,"Ricavo",$A$17:$A$56,"&gt;="&amp;A66,$A$17:$A$56,"&lt;"&amp;EDATE(A66,1))</f>
        <v/>
      </c>
      <c r="D66" s="26">
        <f>MAX(C66-B66,0)</f>
        <v/>
      </c>
      <c r="E66" s="25">
        <f>MAX(B66-C66,0)</f>
        <v/>
      </c>
      <c r="F66" s="18">
        <f>SUMIFS($D$17:$D$56,$B$17:$B$56,"Ricavo",$A$17:$A$56,"&gt;="&amp;A66,$A$17:$A$56,"&lt;"&amp;EDATE(A66,1))</f>
        <v/>
      </c>
    </row>
    <row r="67">
      <c r="A67" s="24">
        <f>EDATE(A66,1)</f>
        <v/>
      </c>
      <c r="B67" s="25">
        <f>SUMIFS($E$17:$E$56,$B$17:$B$56,"Costo",$A$17:$A$56,"&gt;="&amp;A67,$A$17:$A$56,"&lt;"&amp;EDATE(A67,1))</f>
        <v/>
      </c>
      <c r="C67" s="26">
        <f>SUMIFS($E$17:$E$56,$B$17:$B$56,"Ricavo",$A$17:$A$56,"&gt;="&amp;A67,$A$17:$A$56,"&lt;"&amp;EDATE(A67,1))</f>
        <v/>
      </c>
      <c r="D67" s="26">
        <f>MAX(C67-B67,0)</f>
        <v/>
      </c>
      <c r="E67" s="25">
        <f>MAX(B67-C67,0)</f>
        <v/>
      </c>
      <c r="F67" s="18">
        <f>SUMIFS($D$17:$D$56,$B$17:$B$56,"Ricavo",$A$17:$A$56,"&gt;="&amp;A67,$A$17:$A$56,"&lt;"&amp;EDATE(A67,1))</f>
        <v/>
      </c>
    </row>
    <row r="68">
      <c r="A68" s="24">
        <f>EDATE(A67,1)</f>
        <v/>
      </c>
      <c r="B68" s="25">
        <f>SUMIFS($E$17:$E$56,$B$17:$B$56,"Costo",$A$17:$A$56,"&gt;="&amp;A68,$A$17:$A$56,"&lt;"&amp;EDATE(A68,1))</f>
        <v/>
      </c>
      <c r="C68" s="26">
        <f>SUMIFS($E$17:$E$56,$B$17:$B$56,"Ricavo",$A$17:$A$56,"&gt;="&amp;A68,$A$17:$A$56,"&lt;"&amp;EDATE(A68,1))</f>
        <v/>
      </c>
      <c r="D68" s="26">
        <f>MAX(C68-B68,0)</f>
        <v/>
      </c>
      <c r="E68" s="25">
        <f>MAX(B68-C68,0)</f>
        <v/>
      </c>
      <c r="F68" s="18">
        <f>SUMIFS($D$17:$D$56,$B$17:$B$56,"Ricavo",$A$17:$A$56,"&gt;="&amp;A68,$A$17:$A$56,"&lt;"&amp;EDATE(A68,1))</f>
        <v/>
      </c>
    </row>
    <row r="69">
      <c r="A69" s="24">
        <f>EDATE(A68,1)</f>
        <v/>
      </c>
      <c r="B69" s="25">
        <f>SUMIFS($E$17:$E$56,$B$17:$B$56,"Costo",$A$17:$A$56,"&gt;="&amp;A69,$A$17:$A$56,"&lt;"&amp;EDATE(A69,1))</f>
        <v/>
      </c>
      <c r="C69" s="26">
        <f>SUMIFS($E$17:$E$56,$B$17:$B$56,"Ricavo",$A$17:$A$56,"&gt;="&amp;A69,$A$17:$A$56,"&lt;"&amp;EDATE(A69,1))</f>
        <v/>
      </c>
      <c r="D69" s="26">
        <f>MAX(C69-B69,0)</f>
        <v/>
      </c>
      <c r="E69" s="25">
        <f>MAX(B69-C69,0)</f>
        <v/>
      </c>
      <c r="F69" s="18">
        <f>SUMIFS($D$17:$D$56,$B$17:$B$56,"Ricavo",$A$17:$A$56,"&gt;="&amp;A69,$A$17:$A$56,"&lt;"&amp;EDATE(A69,1))</f>
        <v/>
      </c>
    </row>
    <row r="70">
      <c r="A70" s="24">
        <f>EDATE(A69,1)</f>
        <v/>
      </c>
      <c r="B70" s="25">
        <f>SUMIFS($E$17:$E$56,$B$17:$B$56,"Costo",$A$17:$A$56,"&gt;="&amp;A70,$A$17:$A$56,"&lt;"&amp;EDATE(A70,1))</f>
        <v/>
      </c>
      <c r="C70" s="26">
        <f>SUMIFS($E$17:$E$56,$B$17:$B$56,"Ricavo",$A$17:$A$56,"&gt;="&amp;A70,$A$17:$A$56,"&lt;"&amp;EDATE(A70,1))</f>
        <v/>
      </c>
      <c r="D70" s="26">
        <f>MAX(C70-B70,0)</f>
        <v/>
      </c>
      <c r="E70" s="25">
        <f>MAX(B70-C70,0)</f>
        <v/>
      </c>
      <c r="F70" s="18">
        <f>SUMIFS($D$17:$D$56,$B$17:$B$56,"Ricavo",$A$17:$A$56,"&gt;="&amp;A70,$A$17:$A$56,"&lt;"&amp;EDATE(A70,1))</f>
        <v/>
      </c>
    </row>
    <row r="71">
      <c r="A71" s="24">
        <f>EDATE(A70,1)</f>
        <v/>
      </c>
      <c r="B71" s="25">
        <f>SUMIFS($E$17:$E$56,$B$17:$B$56,"Costo",$A$17:$A$56,"&gt;="&amp;A71,$A$17:$A$56,"&lt;"&amp;EDATE(A71,1))</f>
        <v/>
      </c>
      <c r="C71" s="26">
        <f>SUMIFS($E$17:$E$56,$B$17:$B$56,"Ricavo",$A$17:$A$56,"&gt;="&amp;A71,$A$17:$A$56,"&lt;"&amp;EDATE(A71,1))</f>
        <v/>
      </c>
      <c r="D71" s="26">
        <f>MAX(C71-B71,0)</f>
        <v/>
      </c>
      <c r="E71" s="25">
        <f>MAX(B71-C71,0)</f>
        <v/>
      </c>
      <c r="F71" s="18">
        <f>SUMIFS($D$17:$D$56,$B$17:$B$56,"Ricavo",$A$17:$A$56,"&gt;="&amp;A71,$A$17:$A$56,"&lt;"&amp;EDATE(A71,1))</f>
        <v/>
      </c>
    </row>
    <row r="72">
      <c r="A72" s="24">
        <f>EDATE(A71,1)</f>
        <v/>
      </c>
      <c r="B72" s="25">
        <f>SUMIFS($E$17:$E$56,$B$17:$B$56,"Costo",$A$17:$A$56,"&gt;="&amp;A72,$A$17:$A$56,"&lt;"&amp;EDATE(A72,1))</f>
        <v/>
      </c>
      <c r="C72" s="26">
        <f>SUMIFS($E$17:$E$56,$B$17:$B$56,"Ricavo",$A$17:$A$56,"&gt;="&amp;A72,$A$17:$A$56,"&lt;"&amp;EDATE(A72,1))</f>
        <v/>
      </c>
      <c r="D72" s="26">
        <f>MAX(C72-B72,0)</f>
        <v/>
      </c>
      <c r="E72" s="25">
        <f>MAX(B72-C72,0)</f>
        <v/>
      </c>
      <c r="F72" s="18">
        <f>SUMIFS($D$17:$D$56,$B$17:$B$56,"Ricavo",$A$17:$A$56,"&gt;="&amp;A72,$A$17:$A$56,"&lt;"&amp;EDATE(A72,1))</f>
        <v/>
      </c>
    </row>
    <row r="73">
      <c r="A73" s="24">
        <f>EDATE(A72,1)</f>
        <v/>
      </c>
      <c r="B73" s="25">
        <f>SUMIFS($E$17:$E$56,$B$17:$B$56,"Costo",$A$17:$A$56,"&gt;="&amp;A73,$A$17:$A$56,"&lt;"&amp;EDATE(A73,1))</f>
        <v/>
      </c>
      <c r="C73" s="26">
        <f>SUMIFS($E$17:$E$56,$B$17:$B$56,"Ricavo",$A$17:$A$56,"&gt;="&amp;A73,$A$17:$A$56,"&lt;"&amp;EDATE(A73,1))</f>
        <v/>
      </c>
      <c r="D73" s="26">
        <f>MAX(C73-B73,0)</f>
        <v/>
      </c>
      <c r="E73" s="25">
        <f>MAX(B73-C73,0)</f>
        <v/>
      </c>
      <c r="F73" s="18">
        <f>SUMIFS($D$17:$D$56,$B$17:$B$56,"Ricavo",$A$17:$A$56,"&gt;="&amp;A73,$A$17:$A$56,"&lt;"&amp;EDATE(A73,1))</f>
        <v/>
      </c>
    </row>
    <row r="74">
      <c r="A74" s="27" t="inlineStr">
        <is>
          <t>TOTALE</t>
        </is>
      </c>
      <c r="B74" s="28">
        <f>SUM(B62:B73)</f>
        <v/>
      </c>
      <c r="C74" s="28">
        <f>SUM(C62:C73)</f>
        <v/>
      </c>
      <c r="D74" s="28">
        <f>MAX(C74-B74,0)</f>
        <v/>
      </c>
      <c r="E74" s="28">
        <f>MAX(B74-C74,0)</f>
        <v/>
      </c>
      <c r="F74" s="29">
        <f>SUM(F62:F73)</f>
        <v/>
      </c>
    </row>
  </sheetData>
  <mergeCells count="13">
    <mergeCell ref="A5:D5"/>
    <mergeCell ref="A9:D9"/>
    <mergeCell ref="A8:D8"/>
    <mergeCell ref="A60:F60"/>
    <mergeCell ref="A6:D6"/>
    <mergeCell ref="A2:E2"/>
    <mergeCell ref="A15:E15"/>
    <mergeCell ref="A4:D4"/>
    <mergeCell ref="A7:D7"/>
    <mergeCell ref="A1:E1"/>
    <mergeCell ref="E11:E12"/>
    <mergeCell ref="A11:D12"/>
    <mergeCell ref="A59:F59"/>
  </mergeCells>
  <conditionalFormatting sqref="A11:E12">
    <cfRule type="expression" priority="1" dxfId="0">
      <formula>$E$5&lt;$E$4</formula>
    </cfRule>
  </conditionalFormatting>
  <conditionalFormatting sqref="A17:E56">
    <cfRule type="expression" priority="2" dxfId="1">
      <formula>$B17="Costo"</formula>
    </cfRule>
    <cfRule type="expression" priority="3" dxfId="2">
      <formula>$B17="Ricavo"</formula>
    </cfRule>
  </conditionalFormatting>
  <dataValidations count="2">
    <dataValidation sqref="B17:B56" showDropDown="0" showInputMessage="0" showErrorMessage="1" allowBlank="1" errorTitle="Tipo non valido" error="Scegliere Costo oppure Ricavo dal menu." type="list">
      <formula1>"Costo,Ricavo"</formula1>
    </dataValidation>
    <dataValidation sqref="E17:E56" showDropDown="0" showInputMessage="1" showErrorMessage="1" allowBlank="0" errorTitle="Importo non valido" error="Inserire un importo positivo, AL NETTO DI IVA." promptTitle="Al netto di IVA" prompt="Inserire l'importo SENZA IVA." type="decimal" operator="greaterThanOrEqual">
      <formula1>0</formula1>
    </dataValidation>
  </dataValidations>
  <printOptions horizontalCentered="1"/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2026-10-18T19:29:27Z</dcterms:created>
  <dcterms:modified xmlns:dcterms="http://purl.org/dc/terms/" xmlns:xsi="http://www.w3.org/2001/XMLSchema-instance" xsi:type="dcterms:W3CDTF">2026-10-18T19:29:27Z</dcterms:modified>
</cp:coreProperties>
</file>