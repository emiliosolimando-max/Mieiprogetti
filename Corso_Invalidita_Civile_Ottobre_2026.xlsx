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 e Rica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0.0%"/>
    <numFmt numFmtId="166" formatCode="#,##0.00 &quot;€&quot;;-#,##0.00 &quot;€&quot;"/>
    <numFmt numFmtId="167" formatCode="DD/MM/YYYY"/>
    <numFmt numFmtId="168" formatCode="MMMM YYYY"/>
  </numFmts>
  <fonts count="16">
    <font>
      <name val="Calibri"/>
      <family val="2"/>
      <color theme="1"/>
      <sz val="11"/>
      <scheme val="minor"/>
    </font>
    <font>
      <b val="1"/>
      <sz val="18"/>
    </font>
    <font>
      <b val="1"/>
      <color rgb="009C5700"/>
      <sz val="12"/>
    </font>
    <font>
      <b val="1"/>
      <color rgb="00C00000"/>
    </font>
    <font>
      <b val="1"/>
      <color rgb="00C00000"/>
      <sz val="12"/>
    </font>
    <font>
      <b val="1"/>
      <color rgb="002E7D32"/>
    </font>
    <font>
      <b val="1"/>
      <color rgb="002E7D32"/>
      <sz val="12"/>
    </font>
    <font>
      <b val="1"/>
      <color rgb="00000000"/>
    </font>
    <font>
      <b val="1"/>
      <color rgb="00000000"/>
      <sz val="12"/>
    </font>
    <font>
      <b val="1"/>
      <color rgb="00FFFFFF"/>
      <sz val="16"/>
    </font>
    <font>
      <b val="1"/>
      <color rgb="00FFFFFF"/>
    </font>
    <font>
      <i val="1"/>
      <color rgb="007F7F7F"/>
      <sz val="9"/>
    </font>
    <font>
      <b val="1"/>
      <sz val="13"/>
    </font>
    <font>
      <color rgb="00C00000"/>
    </font>
    <font>
      <color rgb="002E7D32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D32"/>
      </patternFill>
    </fill>
    <fill>
      <patternFill patternType="solid">
        <fgColor rgb="00404040"/>
      </patternFill>
    </fill>
    <fill>
      <patternFill patternType="solid">
        <fgColor rgb="00C00000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/>
      <top style="medium"/>
      <bottom style="medium"/>
    </border>
    <border>
      <top style="medium"/>
      <bottom style="medium"/>
    </border>
    <border>
      <right style="medium"/>
      <top style="medium"/>
      <bottom style="medium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" fontId="8" fillId="0" borderId="1" applyAlignment="1" pivotButton="0" quotePrefix="0" xfId="0">
      <alignment horizontal="right"/>
    </xf>
    <xf numFmtId="0" fontId="9" fillId="3" borderId="2" applyAlignment="1" pivotButton="0" quotePrefix="0" xfId="0">
      <alignment horizontal="center" vertical="center"/>
    </xf>
    <xf numFmtId="0" fontId="0" fillId="3" borderId="3" pivotButton="0" quotePrefix="0" xfId="0"/>
    <xf numFmtId="166" fontId="9" fillId="3" borderId="4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4" pivotButton="0" quotePrefix="0" xfId="0"/>
    <xf numFmtId="0" fontId="11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167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2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8" fontId="0" fillId="0" borderId="1" pivotButton="0" quotePrefix="0" xfId="0"/>
    <xf numFmtId="164" fontId="13" fillId="0" borderId="1" pivotButton="0" quotePrefix="0" xfId="0"/>
    <xf numFmtId="164" fontId="14" fillId="0" borderId="1" pivotButton="0" quotePrefix="0" xfId="0"/>
    <xf numFmtId="0" fontId="15" fillId="6" borderId="1" pivotButton="0" quotePrefix="0" xfId="0"/>
    <xf numFmtId="164" fontId="15" fillId="6" borderId="1" pivotButton="0" quotePrefix="0" xfId="0"/>
    <xf numFmtId="0" fontId="15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C00000"/>
      </font>
      <fill>
        <patternFill patternType="solid">
          <fgColor rgb="00FDE2E2"/>
          <bgColor rgb="00FDE2E2"/>
        </patternFill>
      </fill>
    </dxf>
    <dxf>
      <font>
        <color rgb="002E7D32"/>
      </font>
      <fill>
        <patternFill patternType="solid">
          <fgColor rgb="00E3F4E4"/>
          <bgColor rgb="00E3F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4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14" customWidth="1" min="4" max="4"/>
    <col width="20" customWidth="1" min="5" max="5"/>
    <col width="14" customWidth="1" min="6" max="6"/>
  </cols>
  <sheetData>
    <row r="1" ht="36" customHeight="1">
      <c r="A1" s="1" t="inlineStr">
        <is>
          <t>CORSO INVALIDITÀ CIVILE – INIZIO OTTOBRE 2026</t>
        </is>
      </c>
    </row>
    <row r="2" ht="24" customHeight="1">
      <c r="A2" s="2" t="inlineStr">
        <is>
          <t>⚠ ATTENZIONE: tutti gli importi (COSTI e RICAVI) vanno inseriti AL NETTO DI IVA</t>
        </is>
      </c>
    </row>
    <row r="4">
      <c r="A4" s="3" t="inlineStr">
        <is>
          <t>TOTALE COSTI (netto IVA)</t>
        </is>
      </c>
      <c r="E4" s="4">
        <f>SUMIFS($E$17:$E$166,$B$17:$B$166,"Costo")</f>
        <v/>
      </c>
    </row>
    <row r="5">
      <c r="A5" s="5" t="inlineStr">
        <is>
          <t>TOTALE RICAVI (netto IVA)</t>
        </is>
      </c>
      <c r="E5" s="6">
        <f>SUMIFS($E$17:$E$166,$B$17:$B$166,"Ricavo")</f>
        <v/>
      </c>
    </row>
    <row r="6">
      <c r="A6" s="5" t="inlineStr">
        <is>
          <t>UTILE (se ricavi &gt; costi)</t>
        </is>
      </c>
      <c r="E6" s="6">
        <f>MAX(E5-E4,0)</f>
        <v/>
      </c>
    </row>
    <row r="7">
      <c r="A7" s="3" t="inlineStr">
        <is>
          <t>PERDITA (se costi &gt; ricavi)</t>
        </is>
      </c>
      <c r="E7" s="4">
        <f>MAX(E4-E5,0)</f>
        <v/>
      </c>
    </row>
    <row r="8">
      <c r="A8" s="7" t="inlineStr">
        <is>
          <t>ROI</t>
        </is>
      </c>
      <c r="E8" s="8">
        <f>IF(E4=0,"",(E5-E4)/E4)</f>
        <v/>
      </c>
    </row>
    <row r="9">
      <c r="A9" s="7" t="inlineStr">
        <is>
          <t>CORSI VENDUTI</t>
        </is>
      </c>
      <c r="E9" s="9">
        <f>SUMIFS($D$17:$D$166,$B$17:$B$166,"Ricavo")</f>
        <v/>
      </c>
    </row>
    <row r="11" ht="22" customHeight="1">
      <c r="A11" s="10">
        <f>IF(E5&gt;=E4,"RISULTATO FINALE:  UTILE","RISULTATO FINALE:  PERDITA")</f>
        <v/>
      </c>
      <c r="B11" s="11" t="n"/>
      <c r="C11" s="11" t="n"/>
      <c r="D11" s="11" t="n"/>
      <c r="E11" s="12">
        <f>ABS(E5-E4)</f>
        <v/>
      </c>
    </row>
    <row r="12" ht="22" customHeight="1">
      <c r="A12" s="13" t="n"/>
      <c r="B12" s="11" t="n"/>
      <c r="C12" s="11" t="n"/>
      <c r="D12" s="11" t="n"/>
      <c r="E12" s="14" t="n"/>
    </row>
    <row r="15">
      <c r="A15" s="15" t="inlineStr">
        <is>
          <t>Inserire un movimento per riga: scegliere Costo (sponsorizzate Facebook) o Ricavo (vendita corsi online). La riga si colora da sola.</t>
        </is>
      </c>
    </row>
    <row r="16" ht="32" customHeight="1">
      <c r="A16" s="16" t="inlineStr">
        <is>
          <t>Data</t>
        </is>
      </c>
      <c r="B16" s="16" t="inlineStr">
        <is>
          <t>Tipo
(Costo / Ricavo)</t>
        </is>
      </c>
      <c r="C16" s="16" t="inlineStr">
        <is>
          <t>Descrizione</t>
        </is>
      </c>
      <c r="D16" s="16" t="inlineStr">
        <is>
          <t>N. corsi venduti</t>
        </is>
      </c>
      <c r="E16" s="16" t="inlineStr">
        <is>
          <t>Importo €
(netto IVA)</t>
        </is>
      </c>
    </row>
    <row r="17">
      <c r="A17" s="17" t="n"/>
      <c r="B17" s="18" t="inlineStr">
        <is>
          <t>Costo</t>
        </is>
      </c>
      <c r="C17" s="19" t="inlineStr">
        <is>
          <t>Sponsorizzata Facebook</t>
        </is>
      </c>
      <c r="D17" s="18" t="n"/>
      <c r="E17" s="20" t="n"/>
    </row>
    <row r="18">
      <c r="A18" s="17" t="n"/>
      <c r="B18" s="18" t="inlineStr">
        <is>
          <t>Ricavo</t>
        </is>
      </c>
      <c r="C18" s="19" t="inlineStr">
        <is>
          <t>Vendita corso online</t>
        </is>
      </c>
      <c r="D18" s="18" t="n"/>
      <c r="E18" s="20" t="n"/>
    </row>
    <row r="19">
      <c r="A19" s="17" t="n"/>
      <c r="B19" s="18" t="n"/>
      <c r="C19" s="19" t="n"/>
      <c r="D19" s="18" t="n"/>
      <c r="E19" s="20" t="n"/>
    </row>
    <row r="20">
      <c r="A20" s="17" t="n"/>
      <c r="B20" s="18" t="n"/>
      <c r="C20" s="19" t="n"/>
      <c r="D20" s="18" t="n"/>
      <c r="E20" s="20" t="n"/>
    </row>
    <row r="21">
      <c r="A21" s="17" t="n"/>
      <c r="B21" s="18" t="n"/>
      <c r="C21" s="19" t="n"/>
      <c r="D21" s="18" t="n"/>
      <c r="E21" s="20" t="n"/>
    </row>
    <row r="22">
      <c r="A22" s="17" t="n"/>
      <c r="B22" s="18" t="n"/>
      <c r="C22" s="19" t="n"/>
      <c r="D22" s="18" t="n"/>
      <c r="E22" s="20" t="n"/>
    </row>
    <row r="23">
      <c r="A23" s="17" t="n"/>
      <c r="B23" s="18" t="n"/>
      <c r="C23" s="19" t="n"/>
      <c r="D23" s="18" t="n"/>
      <c r="E23" s="20" t="n"/>
    </row>
    <row r="24">
      <c r="A24" s="17" t="n"/>
      <c r="B24" s="18" t="n"/>
      <c r="C24" s="19" t="n"/>
      <c r="D24" s="18" t="n"/>
      <c r="E24" s="20" t="n"/>
    </row>
    <row r="25">
      <c r="A25" s="17" t="n"/>
      <c r="B25" s="18" t="n"/>
      <c r="C25" s="19" t="n"/>
      <c r="D25" s="18" t="n"/>
      <c r="E25" s="20" t="n"/>
    </row>
    <row r="26">
      <c r="A26" s="17" t="n"/>
      <c r="B26" s="18" t="n"/>
      <c r="C26" s="19" t="n"/>
      <c r="D26" s="18" t="n"/>
      <c r="E26" s="20" t="n"/>
    </row>
    <row r="27">
      <c r="A27" s="17" t="n"/>
      <c r="B27" s="18" t="n"/>
      <c r="C27" s="19" t="n"/>
      <c r="D27" s="18" t="n"/>
      <c r="E27" s="20" t="n"/>
    </row>
    <row r="28">
      <c r="A28" s="17" t="n"/>
      <c r="B28" s="18" t="n"/>
      <c r="C28" s="19" t="n"/>
      <c r="D28" s="18" t="n"/>
      <c r="E28" s="20" t="n"/>
    </row>
    <row r="29">
      <c r="A29" s="17" t="n"/>
      <c r="B29" s="18" t="n"/>
      <c r="C29" s="19" t="n"/>
      <c r="D29" s="18" t="n"/>
      <c r="E29" s="20" t="n"/>
    </row>
    <row r="30">
      <c r="A30" s="17" t="n"/>
      <c r="B30" s="18" t="n"/>
      <c r="C30" s="19" t="n"/>
      <c r="D30" s="18" t="n"/>
      <c r="E30" s="20" t="n"/>
    </row>
    <row r="31">
      <c r="A31" s="17" t="n"/>
      <c r="B31" s="18" t="n"/>
      <c r="C31" s="19" t="n"/>
      <c r="D31" s="18" t="n"/>
      <c r="E31" s="20" t="n"/>
    </row>
    <row r="32">
      <c r="A32" s="17" t="n"/>
      <c r="B32" s="18" t="n"/>
      <c r="C32" s="19" t="n"/>
      <c r="D32" s="18" t="n"/>
      <c r="E32" s="20" t="n"/>
    </row>
    <row r="33">
      <c r="A33" s="17" t="n"/>
      <c r="B33" s="18" t="n"/>
      <c r="C33" s="19" t="n"/>
      <c r="D33" s="18" t="n"/>
      <c r="E33" s="20" t="n"/>
    </row>
    <row r="34">
      <c r="A34" s="17" t="n"/>
      <c r="B34" s="18" t="n"/>
      <c r="C34" s="19" t="n"/>
      <c r="D34" s="18" t="n"/>
      <c r="E34" s="20" t="n"/>
    </row>
    <row r="35">
      <c r="A35" s="17" t="n"/>
      <c r="B35" s="18" t="n"/>
      <c r="C35" s="19" t="n"/>
      <c r="D35" s="18" t="n"/>
      <c r="E35" s="20" t="n"/>
    </row>
    <row r="36">
      <c r="A36" s="17" t="n"/>
      <c r="B36" s="18" t="n"/>
      <c r="C36" s="19" t="n"/>
      <c r="D36" s="18" t="n"/>
      <c r="E36" s="20" t="n"/>
    </row>
    <row r="37">
      <c r="A37" s="17" t="n"/>
      <c r="B37" s="18" t="n"/>
      <c r="C37" s="19" t="n"/>
      <c r="D37" s="18" t="n"/>
      <c r="E37" s="20" t="n"/>
    </row>
    <row r="38">
      <c r="A38" s="17" t="n"/>
      <c r="B38" s="18" t="n"/>
      <c r="C38" s="19" t="n"/>
      <c r="D38" s="18" t="n"/>
      <c r="E38" s="20" t="n"/>
    </row>
    <row r="39">
      <c r="A39" s="17" t="n"/>
      <c r="B39" s="18" t="n"/>
      <c r="C39" s="19" t="n"/>
      <c r="D39" s="18" t="n"/>
      <c r="E39" s="20" t="n"/>
    </row>
    <row r="40">
      <c r="A40" s="17" t="n"/>
      <c r="B40" s="18" t="n"/>
      <c r="C40" s="19" t="n"/>
      <c r="D40" s="18" t="n"/>
      <c r="E40" s="20" t="n"/>
    </row>
    <row r="41">
      <c r="A41" s="17" t="n"/>
      <c r="B41" s="18" t="n"/>
      <c r="C41" s="19" t="n"/>
      <c r="D41" s="18" t="n"/>
      <c r="E41" s="20" t="n"/>
    </row>
    <row r="42">
      <c r="A42" s="17" t="n"/>
      <c r="B42" s="18" t="n"/>
      <c r="C42" s="19" t="n"/>
      <c r="D42" s="18" t="n"/>
      <c r="E42" s="20" t="n"/>
    </row>
    <row r="43">
      <c r="A43" s="17" t="n"/>
      <c r="B43" s="18" t="n"/>
      <c r="C43" s="19" t="n"/>
      <c r="D43" s="18" t="n"/>
      <c r="E43" s="20" t="n"/>
    </row>
    <row r="44">
      <c r="A44" s="17" t="n"/>
      <c r="B44" s="18" t="n"/>
      <c r="C44" s="19" t="n"/>
      <c r="D44" s="18" t="n"/>
      <c r="E44" s="20" t="n"/>
    </row>
    <row r="45">
      <c r="A45" s="17" t="n"/>
      <c r="B45" s="18" t="n"/>
      <c r="C45" s="19" t="n"/>
      <c r="D45" s="18" t="n"/>
      <c r="E45" s="20" t="n"/>
    </row>
    <row r="46">
      <c r="A46" s="17" t="n"/>
      <c r="B46" s="18" t="n"/>
      <c r="C46" s="19" t="n"/>
      <c r="D46" s="18" t="n"/>
      <c r="E46" s="20" t="n"/>
    </row>
    <row r="47">
      <c r="A47" s="17" t="n"/>
      <c r="B47" s="18" t="n"/>
      <c r="C47" s="19" t="n"/>
      <c r="D47" s="18" t="n"/>
      <c r="E47" s="20" t="n"/>
    </row>
    <row r="48">
      <c r="A48" s="17" t="n"/>
      <c r="B48" s="18" t="n"/>
      <c r="C48" s="19" t="n"/>
      <c r="D48" s="18" t="n"/>
      <c r="E48" s="20" t="n"/>
    </row>
    <row r="49">
      <c r="A49" s="17" t="n"/>
      <c r="B49" s="18" t="n"/>
      <c r="C49" s="19" t="n"/>
      <c r="D49" s="18" t="n"/>
      <c r="E49" s="20" t="n"/>
    </row>
    <row r="50">
      <c r="A50" s="17" t="n"/>
      <c r="B50" s="18" t="n"/>
      <c r="C50" s="19" t="n"/>
      <c r="D50" s="18" t="n"/>
      <c r="E50" s="20" t="n"/>
    </row>
    <row r="51">
      <c r="A51" s="17" t="n"/>
      <c r="B51" s="18" t="n"/>
      <c r="C51" s="19" t="n"/>
      <c r="D51" s="18" t="n"/>
      <c r="E51" s="20" t="n"/>
    </row>
    <row r="52">
      <c r="A52" s="17" t="n"/>
      <c r="B52" s="18" t="n"/>
      <c r="C52" s="19" t="n"/>
      <c r="D52" s="18" t="n"/>
      <c r="E52" s="20" t="n"/>
    </row>
    <row r="53">
      <c r="A53" s="17" t="n"/>
      <c r="B53" s="18" t="n"/>
      <c r="C53" s="19" t="n"/>
      <c r="D53" s="18" t="n"/>
      <c r="E53" s="20" t="n"/>
    </row>
    <row r="54">
      <c r="A54" s="17" t="n"/>
      <c r="B54" s="18" t="n"/>
      <c r="C54" s="19" t="n"/>
      <c r="D54" s="18" t="n"/>
      <c r="E54" s="20" t="n"/>
    </row>
    <row r="55">
      <c r="A55" s="17" t="n"/>
      <c r="B55" s="18" t="n"/>
      <c r="C55" s="19" t="n"/>
      <c r="D55" s="18" t="n"/>
      <c r="E55" s="20" t="n"/>
    </row>
    <row r="56">
      <c r="A56" s="17" t="n"/>
      <c r="B56" s="18" t="n"/>
      <c r="C56" s="19" t="n"/>
      <c r="D56" s="18" t="n"/>
      <c r="E56" s="20" t="n"/>
    </row>
    <row r="57">
      <c r="A57" s="17" t="n"/>
      <c r="B57" s="18" t="n"/>
      <c r="C57" s="19" t="n"/>
      <c r="D57" s="18" t="n"/>
      <c r="E57" s="20" t="n"/>
    </row>
    <row r="58">
      <c r="A58" s="17" t="n"/>
      <c r="B58" s="18" t="n"/>
      <c r="C58" s="19" t="n"/>
      <c r="D58" s="18" t="n"/>
      <c r="E58" s="20" t="n"/>
    </row>
    <row r="59">
      <c r="A59" s="17" t="n"/>
      <c r="B59" s="18" t="n"/>
      <c r="C59" s="19" t="n"/>
      <c r="D59" s="18" t="n"/>
      <c r="E59" s="20" t="n"/>
    </row>
    <row r="60">
      <c r="A60" s="17" t="n"/>
      <c r="B60" s="18" t="n"/>
      <c r="C60" s="19" t="n"/>
      <c r="D60" s="18" t="n"/>
      <c r="E60" s="20" t="n"/>
    </row>
    <row r="61">
      <c r="A61" s="17" t="n"/>
      <c r="B61" s="18" t="n"/>
      <c r="C61" s="19" t="n"/>
      <c r="D61" s="18" t="n"/>
      <c r="E61" s="20" t="n"/>
    </row>
    <row r="62">
      <c r="A62" s="17" t="n"/>
      <c r="B62" s="18" t="n"/>
      <c r="C62" s="19" t="n"/>
      <c r="D62" s="18" t="n"/>
      <c r="E62" s="20" t="n"/>
    </row>
    <row r="63">
      <c r="A63" s="17" t="n"/>
      <c r="B63" s="18" t="n"/>
      <c r="C63" s="19" t="n"/>
      <c r="D63" s="18" t="n"/>
      <c r="E63" s="20" t="n"/>
    </row>
    <row r="64">
      <c r="A64" s="17" t="n"/>
      <c r="B64" s="18" t="n"/>
      <c r="C64" s="19" t="n"/>
      <c r="D64" s="18" t="n"/>
      <c r="E64" s="20" t="n"/>
    </row>
    <row r="65">
      <c r="A65" s="17" t="n"/>
      <c r="B65" s="18" t="n"/>
      <c r="C65" s="19" t="n"/>
      <c r="D65" s="18" t="n"/>
      <c r="E65" s="20" t="n"/>
    </row>
    <row r="66">
      <c r="A66" s="17" t="n"/>
      <c r="B66" s="18" t="n"/>
      <c r="C66" s="19" t="n"/>
      <c r="D66" s="18" t="n"/>
      <c r="E66" s="20" t="n"/>
    </row>
    <row r="67">
      <c r="A67" s="17" t="n"/>
      <c r="B67" s="18" t="n"/>
      <c r="C67" s="19" t="n"/>
      <c r="D67" s="18" t="n"/>
      <c r="E67" s="20" t="n"/>
    </row>
    <row r="68">
      <c r="A68" s="17" t="n"/>
      <c r="B68" s="18" t="n"/>
      <c r="C68" s="19" t="n"/>
      <c r="D68" s="18" t="n"/>
      <c r="E68" s="20" t="n"/>
    </row>
    <row r="69">
      <c r="A69" s="17" t="n"/>
      <c r="B69" s="18" t="n"/>
      <c r="C69" s="19" t="n"/>
      <c r="D69" s="18" t="n"/>
      <c r="E69" s="20" t="n"/>
    </row>
    <row r="70">
      <c r="A70" s="17" t="n"/>
      <c r="B70" s="18" t="n"/>
      <c r="C70" s="19" t="n"/>
      <c r="D70" s="18" t="n"/>
      <c r="E70" s="20" t="n"/>
    </row>
    <row r="71">
      <c r="A71" s="17" t="n"/>
      <c r="B71" s="18" t="n"/>
      <c r="C71" s="19" t="n"/>
      <c r="D71" s="18" t="n"/>
      <c r="E71" s="20" t="n"/>
    </row>
    <row r="72">
      <c r="A72" s="17" t="n"/>
      <c r="B72" s="18" t="n"/>
      <c r="C72" s="19" t="n"/>
      <c r="D72" s="18" t="n"/>
      <c r="E72" s="20" t="n"/>
    </row>
    <row r="73">
      <c r="A73" s="17" t="n"/>
      <c r="B73" s="18" t="n"/>
      <c r="C73" s="19" t="n"/>
      <c r="D73" s="18" t="n"/>
      <c r="E73" s="20" t="n"/>
    </row>
    <row r="74">
      <c r="A74" s="17" t="n"/>
      <c r="B74" s="18" t="n"/>
      <c r="C74" s="19" t="n"/>
      <c r="D74" s="18" t="n"/>
      <c r="E74" s="20" t="n"/>
    </row>
    <row r="75">
      <c r="A75" s="17" t="n"/>
      <c r="B75" s="18" t="n"/>
      <c r="C75" s="19" t="n"/>
      <c r="D75" s="18" t="n"/>
      <c r="E75" s="20" t="n"/>
    </row>
    <row r="76">
      <c r="A76" s="17" t="n"/>
      <c r="B76" s="18" t="n"/>
      <c r="C76" s="19" t="n"/>
      <c r="D76" s="18" t="n"/>
      <c r="E76" s="20" t="n"/>
    </row>
    <row r="77">
      <c r="A77" s="17" t="n"/>
      <c r="B77" s="18" t="n"/>
      <c r="C77" s="19" t="n"/>
      <c r="D77" s="18" t="n"/>
      <c r="E77" s="20" t="n"/>
    </row>
    <row r="78">
      <c r="A78" s="17" t="n"/>
      <c r="B78" s="18" t="n"/>
      <c r="C78" s="19" t="n"/>
      <c r="D78" s="18" t="n"/>
      <c r="E78" s="20" t="n"/>
    </row>
    <row r="79">
      <c r="A79" s="17" t="n"/>
      <c r="B79" s="18" t="n"/>
      <c r="C79" s="19" t="n"/>
      <c r="D79" s="18" t="n"/>
      <c r="E79" s="20" t="n"/>
    </row>
    <row r="80">
      <c r="A80" s="17" t="n"/>
      <c r="B80" s="18" t="n"/>
      <c r="C80" s="19" t="n"/>
      <c r="D80" s="18" t="n"/>
      <c r="E80" s="20" t="n"/>
    </row>
    <row r="81">
      <c r="A81" s="17" t="n"/>
      <c r="B81" s="18" t="n"/>
      <c r="C81" s="19" t="n"/>
      <c r="D81" s="18" t="n"/>
      <c r="E81" s="20" t="n"/>
    </row>
    <row r="82">
      <c r="A82" s="17" t="n"/>
      <c r="B82" s="18" t="n"/>
      <c r="C82" s="19" t="n"/>
      <c r="D82" s="18" t="n"/>
      <c r="E82" s="20" t="n"/>
    </row>
    <row r="83">
      <c r="A83" s="17" t="n"/>
      <c r="B83" s="18" t="n"/>
      <c r="C83" s="19" t="n"/>
      <c r="D83" s="18" t="n"/>
      <c r="E83" s="20" t="n"/>
    </row>
    <row r="84">
      <c r="A84" s="17" t="n"/>
      <c r="B84" s="18" t="n"/>
      <c r="C84" s="19" t="n"/>
      <c r="D84" s="18" t="n"/>
      <c r="E84" s="20" t="n"/>
    </row>
    <row r="85">
      <c r="A85" s="17" t="n"/>
      <c r="B85" s="18" t="n"/>
      <c r="C85" s="19" t="n"/>
      <c r="D85" s="18" t="n"/>
      <c r="E85" s="20" t="n"/>
    </row>
    <row r="86">
      <c r="A86" s="17" t="n"/>
      <c r="B86" s="18" t="n"/>
      <c r="C86" s="19" t="n"/>
      <c r="D86" s="18" t="n"/>
      <c r="E86" s="20" t="n"/>
    </row>
    <row r="87">
      <c r="A87" s="17" t="n"/>
      <c r="B87" s="18" t="n"/>
      <c r="C87" s="19" t="n"/>
      <c r="D87" s="18" t="n"/>
      <c r="E87" s="20" t="n"/>
    </row>
    <row r="88">
      <c r="A88" s="17" t="n"/>
      <c r="B88" s="18" t="n"/>
      <c r="C88" s="19" t="n"/>
      <c r="D88" s="18" t="n"/>
      <c r="E88" s="20" t="n"/>
    </row>
    <row r="89">
      <c r="A89" s="17" t="n"/>
      <c r="B89" s="18" t="n"/>
      <c r="C89" s="19" t="n"/>
      <c r="D89" s="18" t="n"/>
      <c r="E89" s="20" t="n"/>
    </row>
    <row r="90">
      <c r="A90" s="17" t="n"/>
      <c r="B90" s="18" t="n"/>
      <c r="C90" s="19" t="n"/>
      <c r="D90" s="18" t="n"/>
      <c r="E90" s="20" t="n"/>
    </row>
    <row r="91">
      <c r="A91" s="17" t="n"/>
      <c r="B91" s="18" t="n"/>
      <c r="C91" s="19" t="n"/>
      <c r="D91" s="18" t="n"/>
      <c r="E91" s="20" t="n"/>
    </row>
    <row r="92">
      <c r="A92" s="17" t="n"/>
      <c r="B92" s="18" t="n"/>
      <c r="C92" s="19" t="n"/>
      <c r="D92" s="18" t="n"/>
      <c r="E92" s="20" t="n"/>
    </row>
    <row r="93">
      <c r="A93" s="17" t="n"/>
      <c r="B93" s="18" t="n"/>
      <c r="C93" s="19" t="n"/>
      <c r="D93" s="18" t="n"/>
      <c r="E93" s="20" t="n"/>
    </row>
    <row r="94">
      <c r="A94" s="17" t="n"/>
      <c r="B94" s="18" t="n"/>
      <c r="C94" s="19" t="n"/>
      <c r="D94" s="18" t="n"/>
      <c r="E94" s="20" t="n"/>
    </row>
    <row r="95">
      <c r="A95" s="17" t="n"/>
      <c r="B95" s="18" t="n"/>
      <c r="C95" s="19" t="n"/>
      <c r="D95" s="18" t="n"/>
      <c r="E95" s="20" t="n"/>
    </row>
    <row r="96">
      <c r="A96" s="17" t="n"/>
      <c r="B96" s="18" t="n"/>
      <c r="C96" s="19" t="n"/>
      <c r="D96" s="18" t="n"/>
      <c r="E96" s="20" t="n"/>
    </row>
    <row r="97">
      <c r="A97" s="17" t="n"/>
      <c r="B97" s="18" t="n"/>
      <c r="C97" s="19" t="n"/>
      <c r="D97" s="18" t="n"/>
      <c r="E97" s="20" t="n"/>
    </row>
    <row r="98">
      <c r="A98" s="17" t="n"/>
      <c r="B98" s="18" t="n"/>
      <c r="C98" s="19" t="n"/>
      <c r="D98" s="18" t="n"/>
      <c r="E98" s="20" t="n"/>
    </row>
    <row r="99">
      <c r="A99" s="17" t="n"/>
      <c r="B99" s="18" t="n"/>
      <c r="C99" s="19" t="n"/>
      <c r="D99" s="18" t="n"/>
      <c r="E99" s="20" t="n"/>
    </row>
    <row r="100">
      <c r="A100" s="17" t="n"/>
      <c r="B100" s="18" t="n"/>
      <c r="C100" s="19" t="n"/>
      <c r="D100" s="18" t="n"/>
      <c r="E100" s="20" t="n"/>
    </row>
    <row r="101">
      <c r="A101" s="17" t="n"/>
      <c r="B101" s="18" t="n"/>
      <c r="C101" s="19" t="n"/>
      <c r="D101" s="18" t="n"/>
      <c r="E101" s="20" t="n"/>
    </row>
    <row r="102">
      <c r="A102" s="17" t="n"/>
      <c r="B102" s="18" t="n"/>
      <c r="C102" s="19" t="n"/>
      <c r="D102" s="18" t="n"/>
      <c r="E102" s="20" t="n"/>
    </row>
    <row r="103">
      <c r="A103" s="17" t="n"/>
      <c r="B103" s="18" t="n"/>
      <c r="C103" s="19" t="n"/>
      <c r="D103" s="18" t="n"/>
      <c r="E103" s="20" t="n"/>
    </row>
    <row r="104">
      <c r="A104" s="17" t="n"/>
      <c r="B104" s="18" t="n"/>
      <c r="C104" s="19" t="n"/>
      <c r="D104" s="18" t="n"/>
      <c r="E104" s="20" t="n"/>
    </row>
    <row r="105">
      <c r="A105" s="17" t="n"/>
      <c r="B105" s="18" t="n"/>
      <c r="C105" s="19" t="n"/>
      <c r="D105" s="18" t="n"/>
      <c r="E105" s="20" t="n"/>
    </row>
    <row r="106">
      <c r="A106" s="17" t="n"/>
      <c r="B106" s="18" t="n"/>
      <c r="C106" s="19" t="n"/>
      <c r="D106" s="18" t="n"/>
      <c r="E106" s="20" t="n"/>
    </row>
    <row r="107">
      <c r="A107" s="17" t="n"/>
      <c r="B107" s="18" t="n"/>
      <c r="C107" s="19" t="n"/>
      <c r="D107" s="18" t="n"/>
      <c r="E107" s="20" t="n"/>
    </row>
    <row r="108">
      <c r="A108" s="17" t="n"/>
      <c r="B108" s="18" t="n"/>
      <c r="C108" s="19" t="n"/>
      <c r="D108" s="18" t="n"/>
      <c r="E108" s="20" t="n"/>
    </row>
    <row r="109">
      <c r="A109" s="17" t="n"/>
      <c r="B109" s="18" t="n"/>
      <c r="C109" s="19" t="n"/>
      <c r="D109" s="18" t="n"/>
      <c r="E109" s="20" t="n"/>
    </row>
    <row r="110">
      <c r="A110" s="17" t="n"/>
      <c r="B110" s="18" t="n"/>
      <c r="C110" s="19" t="n"/>
      <c r="D110" s="18" t="n"/>
      <c r="E110" s="20" t="n"/>
    </row>
    <row r="111">
      <c r="A111" s="17" t="n"/>
      <c r="B111" s="18" t="n"/>
      <c r="C111" s="19" t="n"/>
      <c r="D111" s="18" t="n"/>
      <c r="E111" s="20" t="n"/>
    </row>
    <row r="112">
      <c r="A112" s="17" t="n"/>
      <c r="B112" s="18" t="n"/>
      <c r="C112" s="19" t="n"/>
      <c r="D112" s="18" t="n"/>
      <c r="E112" s="20" t="n"/>
    </row>
    <row r="113">
      <c r="A113" s="17" t="n"/>
      <c r="B113" s="18" t="n"/>
      <c r="C113" s="19" t="n"/>
      <c r="D113" s="18" t="n"/>
      <c r="E113" s="20" t="n"/>
    </row>
    <row r="114">
      <c r="A114" s="17" t="n"/>
      <c r="B114" s="18" t="n"/>
      <c r="C114" s="19" t="n"/>
      <c r="D114" s="18" t="n"/>
      <c r="E114" s="20" t="n"/>
    </row>
    <row r="115">
      <c r="A115" s="17" t="n"/>
      <c r="B115" s="18" t="n"/>
      <c r="C115" s="19" t="n"/>
      <c r="D115" s="18" t="n"/>
      <c r="E115" s="20" t="n"/>
    </row>
    <row r="116">
      <c r="A116" s="17" t="n"/>
      <c r="B116" s="18" t="n"/>
      <c r="C116" s="19" t="n"/>
      <c r="D116" s="18" t="n"/>
      <c r="E116" s="20" t="n"/>
    </row>
    <row r="117">
      <c r="A117" s="17" t="n"/>
      <c r="B117" s="18" t="n"/>
      <c r="C117" s="19" t="n"/>
      <c r="D117" s="18" t="n"/>
      <c r="E117" s="20" t="n"/>
    </row>
    <row r="118">
      <c r="A118" s="17" t="n"/>
      <c r="B118" s="18" t="n"/>
      <c r="C118" s="19" t="n"/>
      <c r="D118" s="18" t="n"/>
      <c r="E118" s="20" t="n"/>
    </row>
    <row r="119">
      <c r="A119" s="17" t="n"/>
      <c r="B119" s="18" t="n"/>
      <c r="C119" s="19" t="n"/>
      <c r="D119" s="18" t="n"/>
      <c r="E119" s="20" t="n"/>
    </row>
    <row r="120">
      <c r="A120" s="17" t="n"/>
      <c r="B120" s="18" t="n"/>
      <c r="C120" s="19" t="n"/>
      <c r="D120" s="18" t="n"/>
      <c r="E120" s="20" t="n"/>
    </row>
    <row r="121">
      <c r="A121" s="17" t="n"/>
      <c r="B121" s="18" t="n"/>
      <c r="C121" s="19" t="n"/>
      <c r="D121" s="18" t="n"/>
      <c r="E121" s="20" t="n"/>
    </row>
    <row r="122">
      <c r="A122" s="17" t="n"/>
      <c r="B122" s="18" t="n"/>
      <c r="C122" s="19" t="n"/>
      <c r="D122" s="18" t="n"/>
      <c r="E122" s="20" t="n"/>
    </row>
    <row r="123">
      <c r="A123" s="17" t="n"/>
      <c r="B123" s="18" t="n"/>
      <c r="C123" s="19" t="n"/>
      <c r="D123" s="18" t="n"/>
      <c r="E123" s="20" t="n"/>
    </row>
    <row r="124">
      <c r="A124" s="17" t="n"/>
      <c r="B124" s="18" t="n"/>
      <c r="C124" s="19" t="n"/>
      <c r="D124" s="18" t="n"/>
      <c r="E124" s="20" t="n"/>
    </row>
    <row r="125">
      <c r="A125" s="17" t="n"/>
      <c r="B125" s="18" t="n"/>
      <c r="C125" s="19" t="n"/>
      <c r="D125" s="18" t="n"/>
      <c r="E125" s="20" t="n"/>
    </row>
    <row r="126">
      <c r="A126" s="17" t="n"/>
      <c r="B126" s="18" t="n"/>
      <c r="C126" s="19" t="n"/>
      <c r="D126" s="18" t="n"/>
      <c r="E126" s="20" t="n"/>
    </row>
    <row r="127">
      <c r="A127" s="17" t="n"/>
      <c r="B127" s="18" t="n"/>
      <c r="C127" s="19" t="n"/>
      <c r="D127" s="18" t="n"/>
      <c r="E127" s="20" t="n"/>
    </row>
    <row r="128">
      <c r="A128" s="17" t="n"/>
      <c r="B128" s="18" t="n"/>
      <c r="C128" s="19" t="n"/>
      <c r="D128" s="18" t="n"/>
      <c r="E128" s="20" t="n"/>
    </row>
    <row r="129">
      <c r="A129" s="17" t="n"/>
      <c r="B129" s="18" t="n"/>
      <c r="C129" s="19" t="n"/>
      <c r="D129" s="18" t="n"/>
      <c r="E129" s="20" t="n"/>
    </row>
    <row r="130">
      <c r="A130" s="17" t="n"/>
      <c r="B130" s="18" t="n"/>
      <c r="C130" s="19" t="n"/>
      <c r="D130" s="18" t="n"/>
      <c r="E130" s="20" t="n"/>
    </row>
    <row r="131">
      <c r="A131" s="17" t="n"/>
      <c r="B131" s="18" t="n"/>
      <c r="C131" s="19" t="n"/>
      <c r="D131" s="18" t="n"/>
      <c r="E131" s="20" t="n"/>
    </row>
    <row r="132">
      <c r="A132" s="17" t="n"/>
      <c r="B132" s="18" t="n"/>
      <c r="C132" s="19" t="n"/>
      <c r="D132" s="18" t="n"/>
      <c r="E132" s="20" t="n"/>
    </row>
    <row r="133">
      <c r="A133" s="17" t="n"/>
      <c r="B133" s="18" t="n"/>
      <c r="C133" s="19" t="n"/>
      <c r="D133" s="18" t="n"/>
      <c r="E133" s="20" t="n"/>
    </row>
    <row r="134">
      <c r="A134" s="17" t="n"/>
      <c r="B134" s="18" t="n"/>
      <c r="C134" s="19" t="n"/>
      <c r="D134" s="18" t="n"/>
      <c r="E134" s="20" t="n"/>
    </row>
    <row r="135">
      <c r="A135" s="17" t="n"/>
      <c r="B135" s="18" t="n"/>
      <c r="C135" s="19" t="n"/>
      <c r="D135" s="18" t="n"/>
      <c r="E135" s="20" t="n"/>
    </row>
    <row r="136">
      <c r="A136" s="17" t="n"/>
      <c r="B136" s="18" t="n"/>
      <c r="C136" s="19" t="n"/>
      <c r="D136" s="18" t="n"/>
      <c r="E136" s="20" t="n"/>
    </row>
    <row r="137">
      <c r="A137" s="17" t="n"/>
      <c r="B137" s="18" t="n"/>
      <c r="C137" s="19" t="n"/>
      <c r="D137" s="18" t="n"/>
      <c r="E137" s="20" t="n"/>
    </row>
    <row r="138">
      <c r="A138" s="17" t="n"/>
      <c r="B138" s="18" t="n"/>
      <c r="C138" s="19" t="n"/>
      <c r="D138" s="18" t="n"/>
      <c r="E138" s="20" t="n"/>
    </row>
    <row r="139">
      <c r="A139" s="17" t="n"/>
      <c r="B139" s="18" t="n"/>
      <c r="C139" s="19" t="n"/>
      <c r="D139" s="18" t="n"/>
      <c r="E139" s="20" t="n"/>
    </row>
    <row r="140">
      <c r="A140" s="17" t="n"/>
      <c r="B140" s="18" t="n"/>
      <c r="C140" s="19" t="n"/>
      <c r="D140" s="18" t="n"/>
      <c r="E140" s="20" t="n"/>
    </row>
    <row r="141">
      <c r="A141" s="17" t="n"/>
      <c r="B141" s="18" t="n"/>
      <c r="C141" s="19" t="n"/>
      <c r="D141" s="18" t="n"/>
      <c r="E141" s="20" t="n"/>
    </row>
    <row r="142">
      <c r="A142" s="17" t="n"/>
      <c r="B142" s="18" t="n"/>
      <c r="C142" s="19" t="n"/>
      <c r="D142" s="18" t="n"/>
      <c r="E142" s="20" t="n"/>
    </row>
    <row r="143">
      <c r="A143" s="17" t="n"/>
      <c r="B143" s="18" t="n"/>
      <c r="C143" s="19" t="n"/>
      <c r="D143" s="18" t="n"/>
      <c r="E143" s="20" t="n"/>
    </row>
    <row r="144">
      <c r="A144" s="17" t="n"/>
      <c r="B144" s="18" t="n"/>
      <c r="C144" s="19" t="n"/>
      <c r="D144" s="18" t="n"/>
      <c r="E144" s="20" t="n"/>
    </row>
    <row r="145">
      <c r="A145" s="17" t="n"/>
      <c r="B145" s="18" t="n"/>
      <c r="C145" s="19" t="n"/>
      <c r="D145" s="18" t="n"/>
      <c r="E145" s="20" t="n"/>
    </row>
    <row r="146">
      <c r="A146" s="17" t="n"/>
      <c r="B146" s="18" t="n"/>
      <c r="C146" s="19" t="n"/>
      <c r="D146" s="18" t="n"/>
      <c r="E146" s="20" t="n"/>
    </row>
    <row r="147">
      <c r="A147" s="17" t="n"/>
      <c r="B147" s="18" t="n"/>
      <c r="C147" s="19" t="n"/>
      <c r="D147" s="18" t="n"/>
      <c r="E147" s="20" t="n"/>
    </row>
    <row r="148">
      <c r="A148" s="17" t="n"/>
      <c r="B148" s="18" t="n"/>
      <c r="C148" s="19" t="n"/>
      <c r="D148" s="18" t="n"/>
      <c r="E148" s="20" t="n"/>
    </row>
    <row r="149">
      <c r="A149" s="17" t="n"/>
      <c r="B149" s="18" t="n"/>
      <c r="C149" s="19" t="n"/>
      <c r="D149" s="18" t="n"/>
      <c r="E149" s="20" t="n"/>
    </row>
    <row r="150">
      <c r="A150" s="17" t="n"/>
      <c r="B150" s="18" t="n"/>
      <c r="C150" s="19" t="n"/>
      <c r="D150" s="18" t="n"/>
      <c r="E150" s="20" t="n"/>
    </row>
    <row r="151">
      <c r="A151" s="17" t="n"/>
      <c r="B151" s="18" t="n"/>
      <c r="C151" s="19" t="n"/>
      <c r="D151" s="18" t="n"/>
      <c r="E151" s="20" t="n"/>
    </row>
    <row r="152">
      <c r="A152" s="17" t="n"/>
      <c r="B152" s="18" t="n"/>
      <c r="C152" s="19" t="n"/>
      <c r="D152" s="18" t="n"/>
      <c r="E152" s="20" t="n"/>
    </row>
    <row r="153">
      <c r="A153" s="17" t="n"/>
      <c r="B153" s="18" t="n"/>
      <c r="C153" s="19" t="n"/>
      <c r="D153" s="18" t="n"/>
      <c r="E153" s="20" t="n"/>
    </row>
    <row r="154">
      <c r="A154" s="17" t="n"/>
      <c r="B154" s="18" t="n"/>
      <c r="C154" s="19" t="n"/>
      <c r="D154" s="18" t="n"/>
      <c r="E154" s="20" t="n"/>
    </row>
    <row r="155">
      <c r="A155" s="17" t="n"/>
      <c r="B155" s="18" t="n"/>
      <c r="C155" s="19" t="n"/>
      <c r="D155" s="18" t="n"/>
      <c r="E155" s="20" t="n"/>
    </row>
    <row r="156">
      <c r="A156" s="17" t="n"/>
      <c r="B156" s="18" t="n"/>
      <c r="C156" s="19" t="n"/>
      <c r="D156" s="18" t="n"/>
      <c r="E156" s="20" t="n"/>
    </row>
    <row r="157">
      <c r="A157" s="17" t="n"/>
      <c r="B157" s="18" t="n"/>
      <c r="C157" s="19" t="n"/>
      <c r="D157" s="18" t="n"/>
      <c r="E157" s="20" t="n"/>
    </row>
    <row r="158">
      <c r="A158" s="17" t="n"/>
      <c r="B158" s="18" t="n"/>
      <c r="C158" s="19" t="n"/>
      <c r="D158" s="18" t="n"/>
      <c r="E158" s="20" t="n"/>
    </row>
    <row r="159">
      <c r="A159" s="17" t="n"/>
      <c r="B159" s="18" t="n"/>
      <c r="C159" s="19" t="n"/>
      <c r="D159" s="18" t="n"/>
      <c r="E159" s="20" t="n"/>
    </row>
    <row r="160">
      <c r="A160" s="17" t="n"/>
      <c r="B160" s="18" t="n"/>
      <c r="C160" s="19" t="n"/>
      <c r="D160" s="18" t="n"/>
      <c r="E160" s="20" t="n"/>
    </row>
    <row r="161">
      <c r="A161" s="17" t="n"/>
      <c r="B161" s="18" t="n"/>
      <c r="C161" s="19" t="n"/>
      <c r="D161" s="18" t="n"/>
      <c r="E161" s="20" t="n"/>
    </row>
    <row r="162">
      <c r="A162" s="17" t="n"/>
      <c r="B162" s="18" t="n"/>
      <c r="C162" s="19" t="n"/>
      <c r="D162" s="18" t="n"/>
      <c r="E162" s="20" t="n"/>
    </row>
    <row r="163">
      <c r="A163" s="17" t="n"/>
      <c r="B163" s="18" t="n"/>
      <c r="C163" s="19" t="n"/>
      <c r="D163" s="18" t="n"/>
      <c r="E163" s="20" t="n"/>
    </row>
    <row r="164">
      <c r="A164" s="17" t="n"/>
      <c r="B164" s="18" t="n"/>
      <c r="C164" s="19" t="n"/>
      <c r="D164" s="18" t="n"/>
      <c r="E164" s="20" t="n"/>
    </row>
    <row r="165">
      <c r="A165" s="17" t="n"/>
      <c r="B165" s="18" t="n"/>
      <c r="C165" s="19" t="n"/>
      <c r="D165" s="18" t="n"/>
      <c r="E165" s="20" t="n"/>
    </row>
    <row r="166">
      <c r="A166" s="17" t="n"/>
      <c r="B166" s="18" t="n"/>
      <c r="C166" s="19" t="n"/>
      <c r="D166" s="18" t="n"/>
      <c r="E166" s="20" t="n"/>
    </row>
    <row r="169">
      <c r="A169" s="21" t="inlineStr">
        <is>
          <t>RIEPILOGO MENSILE (calcolato in automatico dalla colonna Data)</t>
        </is>
      </c>
    </row>
    <row r="170">
      <c r="A170" s="15" t="inlineStr">
        <is>
          <t>Nota: le righe senza data entrano nei totali generali ma non nel mese.</t>
        </is>
      </c>
    </row>
    <row r="171">
      <c r="A171" s="16" t="inlineStr">
        <is>
          <t>Mese</t>
        </is>
      </c>
      <c r="B171" s="22" t="inlineStr">
        <is>
          <t>Costi (netto IVA)</t>
        </is>
      </c>
      <c r="C171" s="23" t="inlineStr">
        <is>
          <t>Ricavi (netto IVA)</t>
        </is>
      </c>
      <c r="D171" s="23" t="inlineStr">
        <is>
          <t>Utile</t>
        </is>
      </c>
      <c r="E171" s="22" t="inlineStr">
        <is>
          <t>Perdita</t>
        </is>
      </c>
      <c r="F171" s="16" t="inlineStr">
        <is>
          <t>Corsi venduti</t>
        </is>
      </c>
    </row>
    <row r="172">
      <c r="A172" s="24">
        <f>DATE(2026,10,1)</f>
        <v/>
      </c>
      <c r="B172" s="25">
        <f>SUMIFS($E$17:$E$166,$B$17:$B$166,"Costo",$A$17:$A$166,"&gt;="&amp;A172,$A$17:$A$166,"&lt;"&amp;EDATE(A172,1))</f>
        <v/>
      </c>
      <c r="C172" s="26">
        <f>SUMIFS($E$17:$E$166,$B$17:$B$166,"Ricavo",$A$17:$A$166,"&gt;="&amp;A172,$A$17:$A$166,"&lt;"&amp;EDATE(A172,1))</f>
        <v/>
      </c>
      <c r="D172" s="26">
        <f>MAX(C172-B172,0)</f>
        <v/>
      </c>
      <c r="E172" s="25">
        <f>MAX(B172-C172,0)</f>
        <v/>
      </c>
      <c r="F172" s="18">
        <f>SUMIFS($D$17:$D$166,$B$17:$B$166,"Ricavo",$A$17:$A$166,"&gt;="&amp;A172,$A$17:$A$166,"&lt;"&amp;EDATE(A172,1))</f>
        <v/>
      </c>
    </row>
    <row r="173">
      <c r="A173" s="24">
        <f>EDATE(A172,1)</f>
        <v/>
      </c>
      <c r="B173" s="25">
        <f>SUMIFS($E$17:$E$166,$B$17:$B$166,"Costo",$A$17:$A$166,"&gt;="&amp;A173,$A$17:$A$166,"&lt;"&amp;EDATE(A173,1))</f>
        <v/>
      </c>
      <c r="C173" s="26">
        <f>SUMIFS($E$17:$E$166,$B$17:$B$166,"Ricavo",$A$17:$A$166,"&gt;="&amp;A173,$A$17:$A$166,"&lt;"&amp;EDATE(A173,1))</f>
        <v/>
      </c>
      <c r="D173" s="26">
        <f>MAX(C173-B173,0)</f>
        <v/>
      </c>
      <c r="E173" s="25">
        <f>MAX(B173-C173,0)</f>
        <v/>
      </c>
      <c r="F173" s="18">
        <f>SUMIFS($D$17:$D$166,$B$17:$B$166,"Ricavo",$A$17:$A$166,"&gt;="&amp;A173,$A$17:$A$166,"&lt;"&amp;EDATE(A173,1))</f>
        <v/>
      </c>
    </row>
    <row r="174">
      <c r="A174" s="24">
        <f>EDATE(A173,1)</f>
        <v/>
      </c>
      <c r="B174" s="25">
        <f>SUMIFS($E$17:$E$166,$B$17:$B$166,"Costo",$A$17:$A$166,"&gt;="&amp;A174,$A$17:$A$166,"&lt;"&amp;EDATE(A174,1))</f>
        <v/>
      </c>
      <c r="C174" s="26">
        <f>SUMIFS($E$17:$E$166,$B$17:$B$166,"Ricavo",$A$17:$A$166,"&gt;="&amp;A174,$A$17:$A$166,"&lt;"&amp;EDATE(A174,1))</f>
        <v/>
      </c>
      <c r="D174" s="26">
        <f>MAX(C174-B174,0)</f>
        <v/>
      </c>
      <c r="E174" s="25">
        <f>MAX(B174-C174,0)</f>
        <v/>
      </c>
      <c r="F174" s="18">
        <f>SUMIFS($D$17:$D$166,$B$17:$B$166,"Ricavo",$A$17:$A$166,"&gt;="&amp;A174,$A$17:$A$166,"&lt;"&amp;EDATE(A174,1))</f>
        <v/>
      </c>
    </row>
    <row r="175">
      <c r="A175" s="24">
        <f>EDATE(A174,1)</f>
        <v/>
      </c>
      <c r="B175" s="25">
        <f>SUMIFS($E$17:$E$166,$B$17:$B$166,"Costo",$A$17:$A$166,"&gt;="&amp;A175,$A$17:$A$166,"&lt;"&amp;EDATE(A175,1))</f>
        <v/>
      </c>
      <c r="C175" s="26">
        <f>SUMIFS($E$17:$E$166,$B$17:$B$166,"Ricavo",$A$17:$A$166,"&gt;="&amp;A175,$A$17:$A$166,"&lt;"&amp;EDATE(A175,1))</f>
        <v/>
      </c>
      <c r="D175" s="26">
        <f>MAX(C175-B175,0)</f>
        <v/>
      </c>
      <c r="E175" s="25">
        <f>MAX(B175-C175,0)</f>
        <v/>
      </c>
      <c r="F175" s="18">
        <f>SUMIFS($D$17:$D$166,$B$17:$B$166,"Ricavo",$A$17:$A$166,"&gt;="&amp;A175,$A$17:$A$166,"&lt;"&amp;EDATE(A175,1))</f>
        <v/>
      </c>
    </row>
    <row r="176">
      <c r="A176" s="24">
        <f>EDATE(A175,1)</f>
        <v/>
      </c>
      <c r="B176" s="25">
        <f>SUMIFS($E$17:$E$166,$B$17:$B$166,"Costo",$A$17:$A$166,"&gt;="&amp;A176,$A$17:$A$166,"&lt;"&amp;EDATE(A176,1))</f>
        <v/>
      </c>
      <c r="C176" s="26">
        <f>SUMIFS($E$17:$E$166,$B$17:$B$166,"Ricavo",$A$17:$A$166,"&gt;="&amp;A176,$A$17:$A$166,"&lt;"&amp;EDATE(A176,1))</f>
        <v/>
      </c>
      <c r="D176" s="26">
        <f>MAX(C176-B176,0)</f>
        <v/>
      </c>
      <c r="E176" s="25">
        <f>MAX(B176-C176,0)</f>
        <v/>
      </c>
      <c r="F176" s="18">
        <f>SUMIFS($D$17:$D$166,$B$17:$B$166,"Ricavo",$A$17:$A$166,"&gt;="&amp;A176,$A$17:$A$166,"&lt;"&amp;EDATE(A176,1))</f>
        <v/>
      </c>
    </row>
    <row r="177">
      <c r="A177" s="24">
        <f>EDATE(A176,1)</f>
        <v/>
      </c>
      <c r="B177" s="25">
        <f>SUMIFS($E$17:$E$166,$B$17:$B$166,"Costo",$A$17:$A$166,"&gt;="&amp;A177,$A$17:$A$166,"&lt;"&amp;EDATE(A177,1))</f>
        <v/>
      </c>
      <c r="C177" s="26">
        <f>SUMIFS($E$17:$E$166,$B$17:$B$166,"Ricavo",$A$17:$A$166,"&gt;="&amp;A177,$A$17:$A$166,"&lt;"&amp;EDATE(A177,1))</f>
        <v/>
      </c>
      <c r="D177" s="26">
        <f>MAX(C177-B177,0)</f>
        <v/>
      </c>
      <c r="E177" s="25">
        <f>MAX(B177-C177,0)</f>
        <v/>
      </c>
      <c r="F177" s="18">
        <f>SUMIFS($D$17:$D$166,$B$17:$B$166,"Ricavo",$A$17:$A$166,"&gt;="&amp;A177,$A$17:$A$166,"&lt;"&amp;EDATE(A177,1))</f>
        <v/>
      </c>
    </row>
    <row r="178">
      <c r="A178" s="24">
        <f>EDATE(A177,1)</f>
        <v/>
      </c>
      <c r="B178" s="25">
        <f>SUMIFS($E$17:$E$166,$B$17:$B$166,"Costo",$A$17:$A$166,"&gt;="&amp;A178,$A$17:$A$166,"&lt;"&amp;EDATE(A178,1))</f>
        <v/>
      </c>
      <c r="C178" s="26">
        <f>SUMIFS($E$17:$E$166,$B$17:$B$166,"Ricavo",$A$17:$A$166,"&gt;="&amp;A178,$A$17:$A$166,"&lt;"&amp;EDATE(A178,1))</f>
        <v/>
      </c>
      <c r="D178" s="26">
        <f>MAX(C178-B178,0)</f>
        <v/>
      </c>
      <c r="E178" s="25">
        <f>MAX(B178-C178,0)</f>
        <v/>
      </c>
      <c r="F178" s="18">
        <f>SUMIFS($D$17:$D$166,$B$17:$B$166,"Ricavo",$A$17:$A$166,"&gt;="&amp;A178,$A$17:$A$166,"&lt;"&amp;EDATE(A178,1))</f>
        <v/>
      </c>
    </row>
    <row r="179">
      <c r="A179" s="24">
        <f>EDATE(A178,1)</f>
        <v/>
      </c>
      <c r="B179" s="25">
        <f>SUMIFS($E$17:$E$166,$B$17:$B$166,"Costo",$A$17:$A$166,"&gt;="&amp;A179,$A$17:$A$166,"&lt;"&amp;EDATE(A179,1))</f>
        <v/>
      </c>
      <c r="C179" s="26">
        <f>SUMIFS($E$17:$E$166,$B$17:$B$166,"Ricavo",$A$17:$A$166,"&gt;="&amp;A179,$A$17:$A$166,"&lt;"&amp;EDATE(A179,1))</f>
        <v/>
      </c>
      <c r="D179" s="26">
        <f>MAX(C179-B179,0)</f>
        <v/>
      </c>
      <c r="E179" s="25">
        <f>MAX(B179-C179,0)</f>
        <v/>
      </c>
      <c r="F179" s="18">
        <f>SUMIFS($D$17:$D$166,$B$17:$B$166,"Ricavo",$A$17:$A$166,"&gt;="&amp;A179,$A$17:$A$166,"&lt;"&amp;EDATE(A179,1))</f>
        <v/>
      </c>
    </row>
    <row r="180">
      <c r="A180" s="24">
        <f>EDATE(A179,1)</f>
        <v/>
      </c>
      <c r="B180" s="25">
        <f>SUMIFS($E$17:$E$166,$B$17:$B$166,"Costo",$A$17:$A$166,"&gt;="&amp;A180,$A$17:$A$166,"&lt;"&amp;EDATE(A180,1))</f>
        <v/>
      </c>
      <c r="C180" s="26">
        <f>SUMIFS($E$17:$E$166,$B$17:$B$166,"Ricavo",$A$17:$A$166,"&gt;="&amp;A180,$A$17:$A$166,"&lt;"&amp;EDATE(A180,1))</f>
        <v/>
      </c>
      <c r="D180" s="26">
        <f>MAX(C180-B180,0)</f>
        <v/>
      </c>
      <c r="E180" s="25">
        <f>MAX(B180-C180,0)</f>
        <v/>
      </c>
      <c r="F180" s="18">
        <f>SUMIFS($D$17:$D$166,$B$17:$B$166,"Ricavo",$A$17:$A$166,"&gt;="&amp;A180,$A$17:$A$166,"&lt;"&amp;EDATE(A180,1))</f>
        <v/>
      </c>
    </row>
    <row r="181">
      <c r="A181" s="24">
        <f>EDATE(A180,1)</f>
        <v/>
      </c>
      <c r="B181" s="25">
        <f>SUMIFS($E$17:$E$166,$B$17:$B$166,"Costo",$A$17:$A$166,"&gt;="&amp;A181,$A$17:$A$166,"&lt;"&amp;EDATE(A181,1))</f>
        <v/>
      </c>
      <c r="C181" s="26">
        <f>SUMIFS($E$17:$E$166,$B$17:$B$166,"Ricavo",$A$17:$A$166,"&gt;="&amp;A181,$A$17:$A$166,"&lt;"&amp;EDATE(A181,1))</f>
        <v/>
      </c>
      <c r="D181" s="26">
        <f>MAX(C181-B181,0)</f>
        <v/>
      </c>
      <c r="E181" s="25">
        <f>MAX(B181-C181,0)</f>
        <v/>
      </c>
      <c r="F181" s="18">
        <f>SUMIFS($D$17:$D$166,$B$17:$B$166,"Ricavo",$A$17:$A$166,"&gt;="&amp;A181,$A$17:$A$166,"&lt;"&amp;EDATE(A181,1))</f>
        <v/>
      </c>
    </row>
    <row r="182">
      <c r="A182" s="24">
        <f>EDATE(A181,1)</f>
        <v/>
      </c>
      <c r="B182" s="25">
        <f>SUMIFS($E$17:$E$166,$B$17:$B$166,"Costo",$A$17:$A$166,"&gt;="&amp;A182,$A$17:$A$166,"&lt;"&amp;EDATE(A182,1))</f>
        <v/>
      </c>
      <c r="C182" s="26">
        <f>SUMIFS($E$17:$E$166,$B$17:$B$166,"Ricavo",$A$17:$A$166,"&gt;="&amp;A182,$A$17:$A$166,"&lt;"&amp;EDATE(A182,1))</f>
        <v/>
      </c>
      <c r="D182" s="26">
        <f>MAX(C182-B182,0)</f>
        <v/>
      </c>
      <c r="E182" s="25">
        <f>MAX(B182-C182,0)</f>
        <v/>
      </c>
      <c r="F182" s="18">
        <f>SUMIFS($D$17:$D$166,$B$17:$B$166,"Ricavo",$A$17:$A$166,"&gt;="&amp;A182,$A$17:$A$166,"&lt;"&amp;EDATE(A182,1))</f>
        <v/>
      </c>
    </row>
    <row r="183">
      <c r="A183" s="24">
        <f>EDATE(A182,1)</f>
        <v/>
      </c>
      <c r="B183" s="25">
        <f>SUMIFS($E$17:$E$166,$B$17:$B$166,"Costo",$A$17:$A$166,"&gt;="&amp;A183,$A$17:$A$166,"&lt;"&amp;EDATE(A183,1))</f>
        <v/>
      </c>
      <c r="C183" s="26">
        <f>SUMIFS($E$17:$E$166,$B$17:$B$166,"Ricavo",$A$17:$A$166,"&gt;="&amp;A183,$A$17:$A$166,"&lt;"&amp;EDATE(A183,1))</f>
        <v/>
      </c>
      <c r="D183" s="26">
        <f>MAX(C183-B183,0)</f>
        <v/>
      </c>
      <c r="E183" s="25">
        <f>MAX(B183-C183,0)</f>
        <v/>
      </c>
      <c r="F183" s="18">
        <f>SUMIFS($D$17:$D$166,$B$17:$B$166,"Ricavo",$A$17:$A$166,"&gt;="&amp;A183,$A$17:$A$166,"&lt;"&amp;EDATE(A183,1))</f>
        <v/>
      </c>
    </row>
    <row r="184">
      <c r="A184" s="27" t="inlineStr">
        <is>
          <t>TOTALE</t>
        </is>
      </c>
      <c r="B184" s="28">
        <f>SUM(B172:B183)</f>
        <v/>
      </c>
      <c r="C184" s="28">
        <f>SUM(C172:C183)</f>
        <v/>
      </c>
      <c r="D184" s="28">
        <f>MAX(C184-B184,0)</f>
        <v/>
      </c>
      <c r="E184" s="28">
        <f>MAX(B184-C184,0)</f>
        <v/>
      </c>
      <c r="F184" s="29">
        <f>SUM(F172:F183)</f>
        <v/>
      </c>
    </row>
  </sheetData>
  <mergeCells count="13">
    <mergeCell ref="A5:D5"/>
    <mergeCell ref="A170:F170"/>
    <mergeCell ref="A9:D9"/>
    <mergeCell ref="A8:D8"/>
    <mergeCell ref="A6:D6"/>
    <mergeCell ref="A2:E2"/>
    <mergeCell ref="A169:F169"/>
    <mergeCell ref="A15:E15"/>
    <mergeCell ref="A4:D4"/>
    <mergeCell ref="A7:D7"/>
    <mergeCell ref="A1:E1"/>
    <mergeCell ref="E11:E12"/>
    <mergeCell ref="A11:D12"/>
  </mergeCells>
  <conditionalFormatting sqref="A11:E12">
    <cfRule type="expression" priority="1" dxfId="0">
      <formula>$E$5&lt;$E$4</formula>
    </cfRule>
  </conditionalFormatting>
  <conditionalFormatting sqref="A17:E166">
    <cfRule type="expression" priority="2" dxfId="1">
      <formula>$B17="Costo"</formula>
    </cfRule>
    <cfRule type="expression" priority="3" dxfId="2">
      <formula>$B17="Ricavo"</formula>
    </cfRule>
  </conditionalFormatting>
  <dataValidations count="2">
    <dataValidation sqref="B17:B166" showDropDown="0" showInputMessage="0" showErrorMessage="1" allowBlank="1" errorTitle="Tipo non valido" error="Scegliere Costo oppure Ricavo dal menu." type="list">
      <formula1>"Costo,Ricavo"</formula1>
    </dataValidation>
    <dataValidation sqref="E17:E166" showDropDown="0" showInputMessage="1" showErrorMessage="1" allowBlank="0" errorTitle="Importo non valido" error="Inserire un importo positivo, AL NETTO DI IVA." promptTitle="Al netto di IVA" prompt="Inserire l'importo SENZA IVA." type="decimal" operator="greaterThanOrEqual">
      <formula1>0</formula1>
    </dataValidation>
  </dataValidations>
  <printOptions horizontalCentered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2026-10-18T19:24:31Z</dcterms:created>
  <dcterms:modified xmlns:dcterms="http://purl.org/dc/terms/" xmlns:xsi="http://www.w3.org/2001/XMLSchema-instance" xsi:type="dcterms:W3CDTF">2026-10-18T19:24:31Z</dcterms:modified>
</cp:coreProperties>
</file>